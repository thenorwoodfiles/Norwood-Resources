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WELCOME" sheetId="2" state="visible" r:id="rId2"/>
    <sheet xmlns:r="http://schemas.openxmlformats.org/officeDocument/2006/relationships" name="LICENCE" sheetId="3" state="visible" r:id="rId3"/>
    <sheet xmlns:r="http://schemas.openxmlformats.org/officeDocument/2006/relationships" name="START HERE" sheetId="4" state="visible" r:id="rId4"/>
    <sheet xmlns:r="http://schemas.openxmlformats.org/officeDocument/2006/relationships" name="Form 12 Investigation" sheetId="5" state="visible" r:id="rId5"/>
    <sheet xmlns:r="http://schemas.openxmlformats.org/officeDocument/2006/relationships" name="Form 13 Candidates" sheetId="6" state="visible" r:id="rId6"/>
    <sheet xmlns:r="http://schemas.openxmlformats.org/officeDocument/2006/relationships" name="Form 14 Containment" sheetId="7" state="visible" r:id="rId7"/>
    <sheet xmlns:r="http://schemas.openxmlformats.org/officeDocument/2006/relationships" name="Form 15 Measurement Study" sheetId="8" state="visible" r:id="rId8"/>
    <sheet xmlns:r="http://schemas.openxmlformats.org/officeDocument/2006/relationships" name="Form 16 Corrective Action" sheetId="9" state="visible" r:id="rId9"/>
    <sheet xmlns:r="http://schemas.openxmlformats.org/officeDocument/2006/relationships" name="Dashboard" sheetId="10" state="visible" r:id="rId10"/>
    <sheet xmlns:r="http://schemas.openxmlformats.org/officeDocument/2006/relationships" name="EXAMPLE A Recurring defect" sheetId="11" state="visible" r:id="rId11"/>
    <sheet xmlns:r="http://schemas.openxmlformats.org/officeDocument/2006/relationships" name="EXAMPLE B Intermittent failure" sheetId="12" state="visible" r:id="rId12"/>
    <sheet xmlns:r="http://schemas.openxmlformats.org/officeDocument/2006/relationships" name="EXAMPLE C Disputed complaint" sheetId="13" state="visible" r:id="rId13"/>
    <sheet xmlns:r="http://schemas.openxmlformats.org/officeDocument/2006/relationships" name="About" sheetId="14" state="visible" r:id="rId14"/>
  </sheets>
  <definedNames>
    <definedName name="_xlnm.Print_Area" localSheetId="0">'Cover'!$A$1:$I$31</definedName>
    <definedName name="_xlnm.Print_Area" localSheetId="1">'WELCOME'!$A$1:$I$71</definedName>
    <definedName name="_xlnm.Print_Area" localSheetId="2">'LICENCE'!$A$1:$I$48</definedName>
    <definedName name="_xlnm._FilterDatabase" localSheetId="4" hidden="1">'Form 12 Investigation'!$A$4:$H$64</definedName>
    <definedName name="_xlnm._FilterDatabase" localSheetId="5" hidden="1">'Form 13 Candidates'!$A$4:$G$304</definedName>
    <definedName name="_xlnm._FilterDatabase" localSheetId="8" hidden="1">'Form 16 Corrective Action'!$A$4:$H$64</definedName>
    <definedName name="_xlnm.Print_Area" localSheetId="9">'Dashboard'!$A$1:$J$44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4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9"/>
    </font>
    <font>
      <name val="Arial"/>
      <charset val="1"/>
      <family val="0"/>
      <b val="1"/>
      <color rgb="FF1F3864"/>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0000CC"/>
      <sz val="10"/>
    </font>
    <font>
      <name val="Arial"/>
      <charset val="1"/>
      <family val="0"/>
      <b val="1"/>
      <color rgb="FFFFFFFF"/>
      <sz val="8.5"/>
    </font>
    <font>
      <name val="Arial"/>
      <charset val="1"/>
      <family val="0"/>
      <b val="1"/>
      <color rgb="FF9C0006"/>
      <sz val="9"/>
    </font>
    <font>
      <name val="Arial"/>
      <charset val="1"/>
      <family val="0"/>
      <b val="1"/>
      <sz val="10"/>
    </font>
    <font>
      <name val="Arial"/>
      <charset val="1"/>
      <family val="0"/>
      <b val="1"/>
      <color rgb="FF1F3864"/>
      <sz val="12"/>
    </font>
    <font>
      <name val="Arial"/>
      <charset val="1"/>
      <family val="0"/>
      <b val="1"/>
      <color rgb="FF1F3864"/>
      <sz val="22"/>
    </font>
    <font>
      <name val="Arial"/>
      <charset val="1"/>
      <family val="0"/>
      <color rgb="FF6A6A6A"/>
      <sz val="8"/>
    </font>
    <font>
      <name val="Arial"/>
      <charset val="1"/>
      <family val="0"/>
      <b val="1"/>
      <color rgb="FF1F3864"/>
      <sz val="9"/>
    </font>
    <font>
      <name val="Arial"/>
      <charset val="1"/>
      <family val="0"/>
      <sz val="9"/>
    </font>
    <font>
      <name val="Calibri"/>
      <family val="2"/>
      <b val="1"/>
      <color rgb="FF000000"/>
      <sz val="18"/>
    </font>
    <font>
      <name val="Calibri"/>
      <family val="2"/>
      <color rgb="FF000000"/>
      <sz val="10"/>
    </font>
    <font>
      <name val="Arial"/>
      <charset val="1"/>
      <family val="0"/>
      <b val="1"/>
      <color rgb="FF15161A"/>
      <sz val="14"/>
    </font>
    <font>
      <name val="Arial"/>
      <charset val="1"/>
      <family val="0"/>
      <b val="1"/>
      <color rgb="FF15161A"/>
      <sz val="12"/>
    </font>
    <font>
      <name val="Arial"/>
      <charset val="1"/>
      <family val="0"/>
      <color rgb="FF444444"/>
      <sz val="10"/>
    </font>
    <font>
      <name val="Arial"/>
      <charset val="1"/>
      <family val="0"/>
      <color rgb="FF333333"/>
      <sz val="10"/>
    </font>
    <font>
      <name val="Arial"/>
      <charset val="1"/>
      <family val="0"/>
      <color rgb="FF777777"/>
      <sz val="9"/>
    </font>
    <font>
      <name val="Arial"/>
      <b val="1"/>
      <color rgb="FF15161A"/>
      <sz val="11"/>
    </font>
    <font>
      <name val="Arial"/>
      <color rgb="FF6E7178"/>
      <sz val="9"/>
    </font>
    <font>
      <name val="Arial"/>
      <b val="1"/>
      <color rgb="FFCD232F"/>
      <sz val="10"/>
    </font>
    <font>
      <name val="Arial"/>
      <b val="1"/>
      <color rgb="FF15161A"/>
      <sz val="30"/>
    </font>
    <font>
      <name val="Arial"/>
      <color rgb="FF6E7178"/>
      <sz val="11"/>
    </font>
    <font>
      <name val="Arial"/>
      <b val="1"/>
      <color rgb="FF15161A"/>
      <sz val="16"/>
    </font>
    <font>
      <name val="Arial"/>
      <color rgb="FF6E7178"/>
      <sz val="10"/>
    </font>
    <font>
      <name val="Arial"/>
      <b val="1"/>
      <color rgb="FF6E7178"/>
      <sz val="8"/>
    </font>
    <font>
      <name val="Arial"/>
      <color rgb="FF15161A"/>
      <sz val="10"/>
    </font>
    <font>
      <name val="Arial"/>
      <b val="1"/>
      <color rgb="FF15161A"/>
      <sz val="13"/>
    </font>
    <font>
      <name val="Arial"/>
      <b val="1"/>
      <color rgb="FF15161A"/>
      <sz val="20"/>
    </font>
    <font>
      <name val="Arial"/>
      <b val="1"/>
      <color rgb="FFCD232F"/>
      <sz val="9"/>
    </font>
    <font>
      <name val="Arial"/>
      <b val="1"/>
      <color rgb="FF5B7A99"/>
      <sz val="10"/>
    </font>
    <font>
      <name val="Arial"/>
      <b val="1"/>
      <color rgb="FFF0EDE6"/>
      <sz val="9"/>
    </font>
    <font>
      <name val="Arial"/>
      <b val="1"/>
      <color rgb="FF15161A"/>
      <sz val="9"/>
    </font>
    <font>
      <name val="Arial"/>
      <color rgb="FF3A3D44"/>
      <sz val="9"/>
    </font>
    <font>
      <name val="Arial"/>
      <color rgb="FF15161A"/>
      <sz val="9"/>
    </font>
    <font>
      <name val="Arial"/>
      <b val="1"/>
      <color rgb="FF6E7178"/>
      <sz val="9"/>
    </font>
    <font>
      <name val="Arial"/>
      <i val="1"/>
      <color rgb="FF6E7178"/>
      <sz val="9"/>
    </font>
  </fonts>
  <fills count="14">
    <fill>
      <patternFill/>
    </fill>
    <fill>
      <patternFill patternType="gray125"/>
    </fill>
    <fill>
      <patternFill patternType="solid">
        <fgColor rgb="FF1F3864"/>
        <bgColor rgb="FF333333"/>
      </patternFill>
    </fill>
    <fill>
      <patternFill patternType="solid">
        <fgColor rgb="FF2E5C8A"/>
        <bgColor rgb="FF595959"/>
      </patternFill>
    </fill>
    <fill>
      <patternFill patternType="solid">
        <fgColor rgb="FFFFFDF0"/>
        <bgColor rgb="FFFFFFFF"/>
      </patternFill>
    </fill>
    <fill>
      <patternFill patternType="solid">
        <fgColor rgb="FFFFFFFF"/>
        <bgColor rgb="FFFFFDF0"/>
      </patternFill>
    </fill>
    <fill>
      <patternFill patternType="solid">
        <fgColor rgb="FF9E9E9E"/>
        <bgColor rgb="FF9AA0A8"/>
      </patternFill>
    </fill>
    <fill>
      <patternFill patternType="solid">
        <fgColor rgb="FFF2F2F2"/>
        <bgColor rgb="FFF2F4F8"/>
      </patternFill>
    </fill>
    <fill>
      <patternFill patternType="solid">
        <fgColor rgb="FFD9D9D9"/>
        <bgColor rgb="FFC6EFCE"/>
      </patternFill>
    </fill>
    <fill>
      <patternFill patternType="solid">
        <fgColor rgb="FFD68910"/>
        <bgColor rgb="FFFF6600"/>
      </patternFill>
    </fill>
    <fill>
      <patternFill patternType="solid">
        <fgColor rgb="FFC0392B"/>
        <bgColor rgb="FF993366"/>
      </patternFill>
    </fill>
    <fill>
      <patternFill patternType="solid">
        <fgColor rgb="FFF2F4F8"/>
        <bgColor rgb="FFF2F2F2"/>
      </patternFill>
    </fill>
    <fill>
      <patternFill patternType="solid">
        <fgColor rgb="FFF7F7F5"/>
        <bgColor rgb="FFF2F4F8"/>
      </patternFill>
    </fill>
    <fill>
      <patternFill patternType="solid">
        <fgColor rgb="FF15161A"/>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bottom style="medium">
        <color rgb="FFCD232F"/>
      </bottom>
    </border>
    <border>
      <bottom style="thin">
        <color rgb="FFC9CCD2"/>
      </bottom>
    </border>
    <border>
      <left style="dashed">
        <color rgb="FF6E7178"/>
      </left>
      <right style="dashed">
        <color rgb="FF6E7178"/>
      </right>
      <top style="dashed">
        <color rgb="FF6E7178"/>
      </top>
      <bottom style="dashed">
        <color rgb="FF6E717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general" vertical="top" wrapText="1"/>
      <protection locked="0" hidden="0"/>
    </xf>
    <xf numFmtId="164" fontId="10" fillId="4"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center" vertical="center"/>
      <protection locked="0" hidden="0"/>
    </xf>
    <xf numFmtId="0" fontId="11" fillId="6" borderId="0" applyAlignment="1" pivotButton="0" quotePrefix="0" xfId="0">
      <alignment horizontal="center" vertical="center"/>
    </xf>
    <xf numFmtId="0" fontId="5" fillId="7" borderId="0" applyAlignment="1" pivotButton="0" quotePrefix="0" xfId="0">
      <alignment horizontal="general" vertical="top" wrapText="1"/>
    </xf>
    <xf numFmtId="0" fontId="10" fillId="4" borderId="1" applyAlignment="1" applyProtection="1" pivotButton="0" quotePrefix="0" xfId="0">
      <alignment horizontal="center" vertical="center"/>
      <protection locked="0" hidden="0"/>
    </xf>
    <xf numFmtId="0" fontId="12" fillId="0" borderId="1" applyAlignment="1" pivotButton="0" quotePrefix="0" xfId="0">
      <alignment horizontal="center" vertical="center" wrapText="1"/>
    </xf>
    <xf numFmtId="0" fontId="10" fillId="5" borderId="1" applyAlignment="1" applyProtection="1" pivotButton="0" quotePrefix="0" xfId="0">
      <alignment horizontal="center" vertical="center"/>
      <protection locked="0" hidden="0"/>
    </xf>
    <xf numFmtId="0" fontId="13" fillId="0" borderId="1" applyAlignment="1" pivotButton="0" quotePrefix="0" xfId="0">
      <alignment horizontal="center" vertical="center" wrapText="1"/>
    </xf>
    <xf numFmtId="0" fontId="13" fillId="8" borderId="1" applyAlignment="1" pivotButton="0" quotePrefix="0" xfId="0">
      <alignment horizontal="center" vertical="center"/>
    </xf>
    <xf numFmtId="0" fontId="13" fillId="0" borderId="1" applyAlignment="1" pivotButton="0" quotePrefix="0" xfId="0">
      <alignment horizontal="center" vertical="center"/>
    </xf>
    <xf numFmtId="0" fontId="6" fillId="0" borderId="0" applyAlignment="1" pivotButton="0" quotePrefix="0" xfId="0">
      <alignment horizontal="general" vertical="bottom"/>
    </xf>
    <xf numFmtId="0" fontId="13" fillId="7" borderId="1" applyAlignment="1" pivotButton="0" quotePrefix="0" xfId="0">
      <alignment horizontal="general" vertical="top" wrapText="1"/>
    </xf>
    <xf numFmtId="0" fontId="14" fillId="0" borderId="1" applyAlignment="1" pivotButton="0" quotePrefix="0" xfId="0">
      <alignment horizontal="center" vertical="center"/>
    </xf>
    <xf numFmtId="0" fontId="5" fillId="0" borderId="0" applyAlignment="1" pivotButton="0" quotePrefix="0" xfId="0">
      <alignment horizontal="general" vertical="top" wrapText="1"/>
    </xf>
    <xf numFmtId="0" fontId="11" fillId="2" borderId="0" applyAlignment="1" pivotButton="0" quotePrefix="0" xfId="0">
      <alignment horizontal="center" vertical="center"/>
    </xf>
    <xf numFmtId="0" fontId="11" fillId="9" borderId="0" applyAlignment="1" pivotButton="0" quotePrefix="0" xfId="0">
      <alignment horizontal="center" vertical="center"/>
    </xf>
    <xf numFmtId="0" fontId="11" fillId="10" borderId="0" applyAlignment="1" pivotButton="0" quotePrefix="0" xfId="0">
      <alignment horizontal="center" vertical="center"/>
    </xf>
    <xf numFmtId="0" fontId="15" fillId="11" borderId="0" applyAlignment="1" pivotButton="0" quotePrefix="0" xfId="0">
      <alignment horizontal="center" vertical="center"/>
    </xf>
    <xf numFmtId="0" fontId="16" fillId="0" borderId="0" applyAlignment="1" pivotButton="0" quotePrefix="0" xfId="0">
      <alignment horizontal="center" vertical="center"/>
    </xf>
    <xf numFmtId="0" fontId="5" fillId="12" borderId="0" applyAlignment="1" pivotButton="0" quotePrefix="0" xfId="0">
      <alignment horizontal="general" vertical="top" wrapText="1"/>
    </xf>
    <xf numFmtId="0" fontId="17" fillId="0" borderId="0" applyAlignment="1" pivotButton="0" quotePrefix="0" xfId="0">
      <alignment horizontal="general" vertical="bottom"/>
    </xf>
    <xf numFmtId="0" fontId="13" fillId="8" borderId="1" applyAlignment="1" pivotButton="0" quotePrefix="0" xfId="0">
      <alignment horizontal="general" vertical="bottom"/>
    </xf>
    <xf numFmtId="0" fontId="18"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7" borderId="1" applyAlignment="1" pivotButton="0" quotePrefix="0" xfId="0">
      <alignment horizontal="general" vertical="top" wrapText="1"/>
    </xf>
    <xf numFmtId="0" fontId="13" fillId="7" borderId="1" applyAlignment="1" pivotButton="0" quotePrefix="0" xfId="0">
      <alignment horizontal="center" vertical="center"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25" fillId="0" borderId="0" applyAlignment="1" pivotButton="0" quotePrefix="0" xfId="0">
      <alignment horizontal="general" vertical="top" wrapText="1"/>
    </xf>
    <xf numFmtId="0" fontId="0" fillId="0" borderId="0" pivotButton="0" quotePrefix="0" xfId="0"/>
    <xf numFmtId="0" fontId="26" fillId="0" borderId="0" applyAlignment="1" pivotButton="0" quotePrefix="0" xfId="0">
      <alignment horizontal="left" vertical="center"/>
    </xf>
    <xf numFmtId="0" fontId="27" fillId="0" borderId="0" applyAlignment="1" pivotButton="0" quotePrefix="0" xfId="0">
      <alignment horizontal="right" vertical="center"/>
    </xf>
    <xf numFmtId="0" fontId="0" fillId="0" borderId="5" pivotButton="0" quotePrefix="0" xfId="0"/>
    <xf numFmtId="0" fontId="28" fillId="0" borderId="0" applyAlignment="1" pivotButton="0" quotePrefix="0" xfId="0">
      <alignment horizontal="left" vertical="center"/>
    </xf>
    <xf numFmtId="0" fontId="29" fillId="0" borderId="0" applyAlignment="1" pivotButton="0" quotePrefix="0" xfId="0">
      <alignment horizontal="left" vertical="center"/>
    </xf>
    <xf numFmtId="0" fontId="30" fillId="0" borderId="0" applyAlignment="1" pivotButton="0" quotePrefix="0" xfId="0">
      <alignment horizontal="left" vertical="top" wrapText="1"/>
    </xf>
    <xf numFmtId="0" fontId="31" fillId="0" borderId="0" applyAlignment="1" pivotButton="0" quotePrefix="0" xfId="0">
      <alignment horizontal="left" vertical="center"/>
    </xf>
    <xf numFmtId="0" fontId="32" fillId="0" borderId="0" applyAlignment="1" pivotButton="0" quotePrefix="0" xfId="0">
      <alignment horizontal="left" vertical="center"/>
    </xf>
    <xf numFmtId="0" fontId="0" fillId="0" borderId="6" pivotButton="0" quotePrefix="0" xfId="0"/>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4" fillId="0" borderId="0" applyAlignment="1" pivotButton="0" quotePrefix="0" xfId="0">
      <alignment horizontal="left" vertical="top" wrapText="1"/>
    </xf>
    <xf numFmtId="0" fontId="38" fillId="0" borderId="0" applyAlignment="1" pivotButton="0" quotePrefix="0" xfId="0">
      <alignment horizontal="center" vertical="center"/>
    </xf>
    <xf numFmtId="0" fontId="39" fillId="13" borderId="0" applyAlignment="1" pivotButton="0" quotePrefix="0" xfId="0">
      <alignment horizontal="left" vertical="center"/>
    </xf>
    <xf numFmtId="0" fontId="0" fillId="13" borderId="0" pivotButton="0" quotePrefix="0" xfId="0"/>
    <xf numFmtId="0" fontId="40" fillId="0" borderId="6" applyAlignment="1" pivotButton="0" quotePrefix="0" xfId="0">
      <alignment horizontal="left" vertical="top" wrapText="1"/>
    </xf>
    <xf numFmtId="0" fontId="41" fillId="0" borderId="6" applyAlignment="1" pivotButton="0" quotePrefix="0" xfId="0">
      <alignment horizontal="left" vertical="top" wrapText="1"/>
    </xf>
    <xf numFmtId="0" fontId="42" fillId="0" borderId="0" applyAlignment="1" pivotButton="0" quotePrefix="0" xfId="0">
      <alignment horizontal="left" vertical="top" wrapText="1"/>
    </xf>
    <xf numFmtId="0" fontId="37" fillId="0" borderId="0" applyAlignment="1" pivotButton="0" quotePrefix="0" xfId="0">
      <alignment horizontal="left" vertical="top" wrapText="1"/>
    </xf>
    <xf numFmtId="0" fontId="43" fillId="0" borderId="7" applyAlignment="1" pivotButton="0" quotePrefix="0" xfId="0">
      <alignment horizontal="center" vertical="center" wrapText="1"/>
    </xf>
    <xf numFmtId="0" fontId="0" fillId="0" borderId="7" pivotButton="0" quotePrefix="0" xfId="0"/>
    <xf numFmtId="0" fontId="27" fillId="0" borderId="0" applyAlignment="1" pivotButton="0" quotePrefix="0" xfId="0">
      <alignment horizontal="left" vertical="top" wrapText="1"/>
    </xf>
    <xf numFmtId="0" fontId="33" fillId="0" borderId="6" applyAlignment="1" pivotButton="0" quotePrefix="0" xfId="0">
      <alignment horizontal="left" vertical="center"/>
    </xf>
    <xf numFmtId="0" fontId="34" fillId="0" borderId="6" applyAlignment="1" pivotButton="0" quotePrefix="0" xfId="0">
      <alignment horizontal="left" vertical="center"/>
    </xf>
    <xf numFmtId="0" fontId="41" fillId="0" borderId="0" applyAlignment="1" pivotButton="0" quotePrefix="0" xfId="0">
      <alignment horizontal="left" vertical="top" wrapText="1"/>
    </xf>
    <xf numFmtId="0" fontId="44" fillId="0" borderId="0" applyAlignment="1" pivotButton="0" quotePrefix="0" xfId="0">
      <alignment horizontal="left" vertical="center"/>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general" vertical="top" wrapText="1"/>
      <protection locked="0" hidden="0"/>
    </xf>
    <xf numFmtId="164" fontId="10" fillId="4"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center" vertical="center"/>
      <protection locked="0" hidden="0"/>
    </xf>
    <xf numFmtId="0" fontId="11" fillId="6" borderId="0" applyAlignment="1" pivotButton="0" quotePrefix="0" xfId="0">
      <alignment horizontal="center" vertical="center"/>
    </xf>
    <xf numFmtId="0" fontId="5" fillId="7" borderId="0" applyAlignment="1" pivotButton="0" quotePrefix="0" xfId="0">
      <alignment horizontal="general" vertical="top" wrapText="1"/>
    </xf>
    <xf numFmtId="0" fontId="10" fillId="4" borderId="1" applyAlignment="1" applyProtection="1" pivotButton="0" quotePrefix="0" xfId="0">
      <alignment horizontal="center" vertical="center"/>
      <protection locked="0" hidden="0"/>
    </xf>
    <xf numFmtId="0" fontId="12" fillId="0" borderId="1" applyAlignment="1" pivotButton="0" quotePrefix="0" xfId="0">
      <alignment horizontal="center" vertical="center" wrapText="1"/>
    </xf>
    <xf numFmtId="0" fontId="10" fillId="5" borderId="1" applyAlignment="1" applyProtection="1" pivotButton="0" quotePrefix="0" xfId="0">
      <alignment horizontal="center" vertical="center"/>
      <protection locked="0" hidden="0"/>
    </xf>
    <xf numFmtId="0" fontId="13" fillId="0" borderId="1" applyAlignment="1" pivotButton="0" quotePrefix="0" xfId="0">
      <alignment horizontal="center" vertical="center" wrapText="1"/>
    </xf>
    <xf numFmtId="0" fontId="13" fillId="8" borderId="1" applyAlignment="1" pivotButton="0" quotePrefix="0" xfId="0">
      <alignment horizontal="center" vertical="center"/>
    </xf>
    <xf numFmtId="0" fontId="13" fillId="0" borderId="1" applyAlignment="1" pivotButton="0" quotePrefix="0" xfId="0">
      <alignment horizontal="center" vertical="center"/>
    </xf>
    <xf numFmtId="0" fontId="6" fillId="0" borderId="0" applyAlignment="1" pivotButton="0" quotePrefix="0" xfId="0">
      <alignment horizontal="general" vertical="bottom"/>
    </xf>
    <xf numFmtId="0" fontId="13" fillId="7" borderId="1" applyAlignment="1" pivotButton="0" quotePrefix="0" xfId="0">
      <alignment horizontal="general" vertical="top" wrapText="1"/>
    </xf>
    <xf numFmtId="0" fontId="0" fillId="0" borderId="4" pivotButton="0" quotePrefix="0" xfId="0"/>
    <xf numFmtId="0" fontId="14" fillId="0" borderId="1" applyAlignment="1" pivotButton="0" quotePrefix="0" xfId="0">
      <alignment horizontal="center" vertical="center"/>
    </xf>
    <xf numFmtId="0" fontId="5" fillId="0" borderId="0" applyAlignment="1" pivotButton="0" quotePrefix="0" xfId="0">
      <alignment horizontal="general" vertical="top" wrapText="1"/>
    </xf>
    <xf numFmtId="0" fontId="11" fillId="2" borderId="0" applyAlignment="1" pivotButton="0" quotePrefix="0" xfId="0">
      <alignment horizontal="center" vertical="center"/>
    </xf>
    <xf numFmtId="0" fontId="11" fillId="9" borderId="0" applyAlignment="1" pivotButton="0" quotePrefix="0" xfId="0">
      <alignment horizontal="center" vertical="center"/>
    </xf>
    <xf numFmtId="0" fontId="11" fillId="10" borderId="0" applyAlignment="1" pivotButton="0" quotePrefix="0" xfId="0">
      <alignment horizontal="center" vertical="center"/>
    </xf>
    <xf numFmtId="0" fontId="15" fillId="11" borderId="0" applyAlignment="1" pivotButton="0" quotePrefix="0" xfId="0">
      <alignment horizontal="center" vertical="center"/>
    </xf>
    <xf numFmtId="0" fontId="16" fillId="0" borderId="0" applyAlignment="1" pivotButton="0" quotePrefix="0" xfId="0">
      <alignment horizontal="center" vertical="center"/>
    </xf>
    <xf numFmtId="0" fontId="5" fillId="12" borderId="0" applyAlignment="1" pivotButton="0" quotePrefix="0" xfId="0">
      <alignment horizontal="general" vertical="top" wrapText="1"/>
    </xf>
    <xf numFmtId="0" fontId="17" fillId="0" borderId="0" applyAlignment="1" pivotButton="0" quotePrefix="0" xfId="0">
      <alignment horizontal="general" vertical="bottom"/>
    </xf>
    <xf numFmtId="0" fontId="13" fillId="8" borderId="1" applyAlignment="1" pivotButton="0" quotePrefix="0" xfId="0">
      <alignment horizontal="general" vertical="bottom"/>
    </xf>
    <xf numFmtId="0" fontId="18"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7" borderId="1" applyAlignment="1" pivotButton="0" quotePrefix="0" xfId="0">
      <alignment horizontal="general" vertical="top" wrapText="1"/>
    </xf>
    <xf numFmtId="0" fontId="13" fillId="7" borderId="1" applyAlignment="1" pivotButton="0" quotePrefix="0" xfId="0">
      <alignment horizontal="center" vertical="center"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2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E5C8A"/>
          <bgColor rgb="FF000000"/>
        </patternFill>
      </fill>
    </dxf>
    <dxf>
      <fill>
        <patternFill patternType="solid">
          <fgColor rgb="FFFFFDF0"/>
          <bgColor rgb="FF000000"/>
        </patternFill>
      </fill>
    </dxf>
    <dxf>
      <fill>
        <patternFill patternType="solid">
          <fgColor rgb="FF0000CC"/>
          <bgColor rgb="FF000000"/>
        </patternFill>
      </fill>
    </dxf>
    <dxf>
      <fill>
        <patternFill patternType="solid">
          <fgColor rgb="FFFFFFFF"/>
          <bgColor rgb="FF000000"/>
        </patternFill>
      </fill>
    </dxf>
    <dxf>
      <fill>
        <patternFill>
          <bgColor rgb="FFC6EFCE"/>
        </patternFill>
      </fill>
    </dxf>
    <dxf>
      <fill>
        <patternFill>
          <bgColor rgb="FFFFE699"/>
        </patternFill>
      </fill>
    </dxf>
    <dxf>
      <fill>
        <patternFill patternType="solid">
          <bgColor rgb="FF000000"/>
        </patternFill>
      </fill>
    </dxf>
    <dxf>
      <fill>
        <patternFill patternType="solid">
          <fgColor rgb="FF9C0006"/>
          <bgColor rgb="FF000000"/>
        </patternFill>
      </fill>
    </dxf>
    <dxf>
      <fill>
        <patternFill>
          <bgColor rgb="FFFFC7CE"/>
        </patternFill>
      </fill>
    </dxf>
  </dxfs>
  <colors>
    <indexedColors>
      <rgbColor rgb="FF000000"/>
      <rgbColor rgb="FFFFFFFF"/>
      <rgbColor rgb="FFFF0000"/>
      <rgbColor rgb="FF00FF00"/>
      <rgbColor rgb="FF0000CC"/>
      <rgbColor rgb="FFFFFF00"/>
      <rgbColor rgb="FFFF00FF"/>
      <rgbColor rgb="FF00FFFF"/>
      <rgbColor rgb="FF9C0006"/>
      <rgbColor rgb="FF008000"/>
      <rgbColor rgb="FF000080"/>
      <rgbColor rgb="FF777777"/>
      <rgbColor rgb="FF800080"/>
      <rgbColor rgb="FF008080"/>
      <rgbColor rgb="FFBFBFBF"/>
      <rgbColor rgb="FF878787"/>
      <rgbColor rgb="FF9AA0A8"/>
      <rgbColor rgb="FF595959"/>
      <rgbColor rgb="FFFFFDF0"/>
      <rgbColor rgb="FFF2F4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F7F7F5"/>
      <rgbColor rgb="FFFF99CC"/>
      <rgbColor rgb="FFCC99FF"/>
      <rgbColor rgb="FFFFC7CE"/>
      <rgbColor rgb="FF4F81BD"/>
      <rgbColor rgb="FF33CCCC"/>
      <rgbColor rgb="FF99CC00"/>
      <rgbColor rgb="FFFFCC00"/>
      <rgbColor rgb="FFD68910"/>
      <rgbColor rgb="FFFF6600"/>
      <rgbColor rgb="FF6A6A6A"/>
      <rgbColor rgb="FF9E9E9E"/>
      <rgbColor rgb="FF1F3864"/>
      <rgbColor rgb="FF339966"/>
      <rgbColor rgb="FF15161A"/>
      <rgbColor rgb="FF444444"/>
      <rgbColor rgb="FFC0392B"/>
      <rgbColor rgb="FF993366"/>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Actions by hierarchy level (1 strongest)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Dashboard!B47</f>
              <strCache>
                <ptCount val="1"/>
                <pt idx="0">
                  <v>Actions</v>
                </pt>
              </strCache>
            </strRef>
          </tx>
          <spPr>
            <a:solidFill xmlns:a="http://schemas.openxmlformats.org/drawingml/2006/main">
              <a:srgbClr val="d68910"/>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Dashboard!$A$48:$A$52</f>
              <strCache>
                <ptCount val="5"/>
                <pt idx="0">
                  <v>5 Procedure</v>
                </pt>
                <pt idx="1">
                  <v>4 Detection</v>
                </pt>
                <pt idx="2">
                  <v>3 Automate control</v>
                </pt>
                <pt idx="3">
                  <v>2 Error-proof</v>
                </pt>
                <pt idx="4">
                  <v>1 Eliminate cause</v>
                </pt>
              </strCache>
            </strRef>
          </cat>
          <val>
            <numRef>
              <f>Dashboard!$B$48:$B$52</f>
              <numCache>
                <formatCode>General</formatCode>
                <ptCount val="5"/>
                <pt idx="0">
                  <v>0</v>
                </pt>
                <pt idx="1">
                  <v>0</v>
                </pt>
                <pt idx="2">
                  <v>0</v>
                </pt>
                <pt idx="3">
                  <v>0</v>
                </pt>
                <pt idx="4">
                  <v>0</v>
                </pt>
              </numCache>
            </numRef>
          </val>
        </ser>
        <gapWidth val="50"/>
        <overlap val="0"/>
        <axId val="40146971"/>
        <axId val="14076401"/>
      </barChart>
      <catAx>
        <axId val="4014697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14076401"/>
        <crosses val="autoZero"/>
        <auto val="1"/>
        <lblAlgn val="ctr"/>
        <lblOffset val="100"/>
        <noMultiLvlLbl val="0"/>
      </catAx>
      <valAx>
        <axId val="14076401"/>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4014697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Candidates killed or kept</a:t>
            </a:r>
          </a:p>
        </rich>
      </tx>
      <overlay val="0"/>
      <spPr>
        <a:noFill xmlns:a="http://schemas.openxmlformats.org/drawingml/2006/main"/>
        <a:ln xmlns:a="http://schemas.openxmlformats.org/drawingml/2006/main" w="0">
          <a:noFill/>
          <a:prstDash val="solid"/>
        </a:ln>
      </spPr>
    </title>
    <plotArea>
      <doughnutChart>
        <varyColors val="1"/>
        <ser>
          <idx val="0"/>
          <order val="0"/>
          <tx>
            <strRef>
              <f>Dashboard!B54</f>
              <strCache>
                <ptCount val="1"/>
                <pt idx="0">
                  <v>Count</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9aa0a8"/>
              </a:solidFill>
              <a:ln xmlns:a="http://schemas.openxmlformats.org/drawingml/2006/main" w="0">
                <a:noFill/>
                <a:prstDash val="solid"/>
              </a:ln>
            </spPr>
          </dPt>
          <dPt>
            <idx val="1"/>
            <spPr>
              <a:solidFill xmlns:a="http://schemas.openxmlformats.org/drawingml/2006/main">
                <a:srgbClr val="c0392b"/>
              </a:solidFill>
              <a:ln xmlns:a="http://schemas.openxmlformats.org/drawingml/2006/main" w="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showLeaderLines val="1"/>
          </dLbls>
          <cat>
            <strRef>
              <f>Dashboard!$A$55:$A$56</f>
              <strCache>
                <ptCount val="2"/>
                <pt idx="0">
                  <v>Killed</v>
                </pt>
                <pt idx="1">
                  <v>Kept</v>
                </pt>
              </strCache>
            </strRef>
          </cat>
          <val>
            <numRef>
              <f>Dashboard!$B$55:$B$56</f>
              <numCache>
                <formatCode>General</formatCode>
                <ptCount val="2"/>
                <pt idx="0">
                  <v>0</v>
                </pt>
                <pt idx="1">
                  <v>0</v>
                </pt>
              </numCache>
            </numRef>
          </val>
        </ser>
        <firstSliceAng val="0"/>
        <holeSize val="50"/>
      </doughnut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Investigations by status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Dashboard!B59</f>
              <strCache>
                <ptCount val="1"/>
                <pt idx="0">
                  <v>Count</v>
                </pt>
              </strCache>
            </strRef>
          </tx>
          <spPr>
            <a:solidFill xmlns:a="http://schemas.openxmlformats.org/drawingml/2006/main">
              <a:srgbClr val="1f3864"/>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Dashboard!$A$60:$A$64</f>
              <strCache>
                <ptCount val="5"/>
                <pt idx="0">
                  <v>open</v>
                </pt>
                <pt idx="1">
                  <v>cause identified</v>
                </pt>
                <pt idx="2">
                  <v>action in place</v>
                </pt>
                <pt idx="3">
                  <v>verifying</v>
                </pt>
                <pt idx="4">
                  <v>closed</v>
                </pt>
              </strCache>
            </strRef>
          </cat>
          <val>
            <numRef>
              <f>Dashboard!$B$60:$B$64</f>
              <numCache>
                <formatCode>General</formatCode>
                <ptCount val="5"/>
                <pt idx="0">
                  <v>0</v>
                </pt>
                <pt idx="1">
                  <v>0</v>
                </pt>
                <pt idx="2">
                  <v>0</v>
                </pt>
                <pt idx="3">
                  <v>0</v>
                </pt>
                <pt idx="4">
                  <v>0</v>
                </pt>
              </numCache>
            </numRef>
          </val>
        </ser>
        <gapWidth val="60"/>
        <overlap val="0"/>
        <axId val="53103167"/>
        <axId val="30469574"/>
      </barChart>
      <catAx>
        <axId val="5310316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0469574"/>
        <crosses val="autoZero"/>
        <auto val="1"/>
        <lblAlgn val="ctr"/>
        <lblOffset val="100"/>
        <noMultiLvlLbl val="0"/>
      </catAx>
      <valAx>
        <axId val="3046957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5310316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6.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1</col>
      <colOff>0</colOff>
      <row>2</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editAs="oneCell">
    <from>
      <col>3</col>
      <colOff>0</colOff>
      <row>0</row>
      <rowOff>0</rowOff>
    </from>
    <to>
      <col>5</col>
      <colOff>453240</colOff>
      <row>1</row>
      <rowOff>199440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10600" y="0"/>
          <a:ext cx="1676160" cy="5234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8</row>
      <rowOff>0</rowOff>
    </from>
    <to>
      <col>5</col>
      <colOff>379080</colOff>
      <row>23</row>
      <rowOff>20880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row>
      <rowOff>0</rowOff>
    </from>
    <to>
      <col>9</col>
      <colOff>552600</colOff>
      <row>23</row>
      <rowOff>20880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26</row>
      <rowOff>0</rowOff>
    </from>
    <to>
      <col>6</col>
      <colOff>503640</colOff>
      <row>40</row>
      <rowOff>67320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6.xml><?xml version="1.0" encoding="utf-8"?>
<wsDr xmlns="http://schemas.openxmlformats.org/drawingml/2006/spreadsheetDrawing">
  <twoCellAnchor editAs="oneCell">
    <from>
      <col>1</col>
      <colOff>0</colOff>
      <row>1</row>
      <rowOff>0</rowOff>
    </from>
    <to>
      <col>1</col>
      <colOff>2133360</colOff>
      <row>4</row>
      <rowOff>94680</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2133360" cy="666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4.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5161A"/>
    <outlinePr summaryBelow="1" summaryRight="1"/>
    <pageSetUpPr fitToPage="1"/>
  </sheetPr>
  <dimension ref="B3:H29"/>
  <sheetViews>
    <sheetView showGridLines="0" tabSelected="1" topLeftCell="A1" workbookViewId="0">
      <selection activeCell="A1" sqref="A1"/>
    </sheetView>
  </sheetViews>
  <sheetFormatPr baseColWidth="8" defaultRowHeight="15"/>
  <cols>
    <col width="2.5" customWidth="1" style="41" min="1" max="1"/>
    <col width="13" customWidth="1" style="41" min="2" max="2"/>
    <col width="13" customWidth="1" style="41" min="3" max="3"/>
    <col width="13" customWidth="1" style="41" min="4" max="4"/>
    <col width="13" customWidth="1" style="41" min="5" max="5"/>
    <col width="13" customWidth="1" style="41" min="6" max="6"/>
    <col width="13" customWidth="1" style="41" min="7" max="7"/>
    <col width="13" customWidth="1" style="41" min="8" max="8"/>
    <col width="2.5" customWidth="1" style="41" min="9" max="9"/>
  </cols>
  <sheetData>
    <row r="2" ht="18" customHeight="1" s="41"/>
    <row r="3" ht="44" customHeight="1" s="41">
      <c r="E3" s="42" t="inlineStr">
        <is>
          <t>THE NORWOOD FILES</t>
        </is>
      </c>
      <c r="H3" s="43" t="inlineStr">
        <is>
          <t>NF-CW3  ·  v2.0</t>
        </is>
      </c>
    </row>
    <row r="4" ht="6" customHeight="1" s="41">
      <c r="B4" s="44" t="n"/>
      <c r="C4" s="44" t="n"/>
      <c r="D4" s="44" t="n"/>
      <c r="E4" s="44" t="n"/>
      <c r="F4" s="44" t="n"/>
      <c r="G4" s="44" t="n"/>
      <c r="H4" s="44" t="n"/>
    </row>
    <row r="5" ht="14" customHeight="1" s="41"/>
    <row r="6" ht="14" customHeight="1" s="41"/>
    <row r="7" ht="14" customHeight="1" s="41"/>
    <row r="8" ht="14" customHeight="1" s="41"/>
    <row r="9" ht="20" customHeight="1" s="41">
      <c r="B9" s="45" t="inlineStr">
        <is>
          <t>OFFICIAL COMPANION WORKBOOK</t>
        </is>
      </c>
    </row>
    <row r="11" ht="46" customHeight="1" s="41">
      <c r="B11" s="46" t="inlineStr">
        <is>
          <t>The Norwood Files</t>
        </is>
      </c>
    </row>
    <row r="12" ht="17" customHeight="1" s="41">
      <c r="B12" s="47" t="inlineStr">
        <is>
          <t>A Novel About Risk, Audit and Root Cause in a Factory That Stopped Pretending</t>
        </is>
      </c>
    </row>
    <row r="13" ht="17" customHeight="1" s="41"/>
    <row r="15" ht="26" customHeight="1" s="41">
      <c r="B15" s="48" t="inlineStr">
        <is>
          <t>Companion to Part Three — The Investigation</t>
        </is>
      </c>
    </row>
    <row r="16" ht="16" customHeight="1" s="41">
      <c r="B16" s="49" t="inlineStr">
        <is>
          <t>The forms from the book, with the rules already written into the formulas.</t>
        </is>
      </c>
    </row>
    <row r="19" ht="6" customHeight="1" s="41">
      <c r="B19" s="50" t="n"/>
      <c r="C19" s="50" t="n"/>
      <c r="D19" s="50" t="n"/>
      <c r="E19" s="50" t="n"/>
      <c r="F19" s="50" t="n"/>
      <c r="G19" s="50" t="n"/>
      <c r="H19" s="50" t="n"/>
    </row>
    <row r="21" ht="18" customHeight="1" s="41">
      <c r="B21" s="51" t="inlineStr">
        <is>
          <t>REVISION</t>
        </is>
      </c>
      <c r="C21" s="52" t="inlineStr">
        <is>
          <t>v2.0  ·  NF-CW3</t>
        </is>
      </c>
    </row>
    <row r="22" ht="18" customHeight="1" s="41">
      <c r="B22" s="51" t="inlineStr">
        <is>
          <t>EDITION</t>
        </is>
      </c>
      <c r="C22" s="52" t="inlineStr">
        <is>
          <t>Current to the 2026 edition of ISO 9001</t>
        </is>
      </c>
    </row>
    <row r="23" ht="18" customHeight="1" s="41">
      <c r="B23" s="51" t="inlineStr">
        <is>
          <t>BASELINE</t>
        </is>
      </c>
      <c r="C23" s="52" t="inlineStr">
        <is>
          <t>Matches the omnibus first edition of The Norwood Files (build RC-Rev9)</t>
        </is>
      </c>
    </row>
    <row r="24" ht="18" customHeight="1" s="41">
      <c r="B24" s="51" t="inlineStr">
        <is>
          <t>ISSUED</t>
        </is>
      </c>
      <c r="C24" s="52" t="inlineStr">
        <is>
          <t>29 August 2026</t>
        </is>
      </c>
    </row>
    <row r="28" ht="22" customHeight="1" s="41">
      <c r="B28" s="53" t="inlineStr">
        <is>
          <t>Dan Bleigh</t>
        </is>
      </c>
    </row>
    <row r="29">
      <c r="B29" s="49" t="inlineStr">
        <is>
          <t>The Norwood Files</t>
        </is>
      </c>
    </row>
  </sheetData>
  <sheetProtection selectLockedCells="0" selectUnlockedCells="0" sheet="1" objects="0" insertRows="1" insertHyperlinks="1" autoFilter="1" scenarios="0" formatColumns="1" deleteColumns="1" insertColumns="1" pivotTables="1" deleteRows="1" formatCells="1" formatRows="1" sort="1"/>
  <mergeCells count="8">
    <mergeCell ref="C24:H24"/>
    <mergeCell ref="C22:H22"/>
    <mergeCell ref="C23:H23"/>
    <mergeCell ref="B12:H13"/>
    <mergeCell ref="B16:H16"/>
    <mergeCell ref="B15:H15"/>
    <mergeCell ref="B11:H11"/>
    <mergeCell ref="C21:H21"/>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5161A"/>
    <outlinePr summaryBelow="1" summaryRight="1"/>
    <pageSetUpPr fitToPage="1"/>
  </sheetPr>
  <dimension ref="B2:H69"/>
  <sheetViews>
    <sheetView showGridLines="0" tabSelected="0" topLeftCell="A1" workbookViewId="0">
      <selection activeCell="A1" sqref="A1"/>
    </sheetView>
  </sheetViews>
  <sheetFormatPr baseColWidth="8" defaultRowHeight="15"/>
  <cols>
    <col width="2.5" customWidth="1" style="41" min="1" max="1"/>
    <col width="13" customWidth="1" style="41" min="2" max="2"/>
    <col width="13" customWidth="1" style="41" min="3" max="3"/>
    <col width="13" customWidth="1" style="41" min="4" max="4"/>
    <col width="13" customWidth="1" style="41" min="5" max="5"/>
    <col width="13" customWidth="1" style="41" min="6" max="6"/>
    <col width="13" customWidth="1" style="41" min="7" max="7"/>
    <col width="13" customWidth="1" style="41" min="8" max="8"/>
    <col width="2.5" customWidth="1" style="41" min="9" max="9"/>
  </cols>
  <sheetData>
    <row r="2" ht="44" customHeight="1" s="41">
      <c r="E2" s="42" t="inlineStr">
        <is>
          <t>THE NORWOOD FILES</t>
        </is>
      </c>
      <c r="H2" s="43" t="inlineStr">
        <is>
          <t>NF-CW3  ·  v2.0</t>
        </is>
      </c>
    </row>
    <row r="3" ht="6" customHeight="1" s="41">
      <c r="B3" s="44" t="n"/>
      <c r="C3" s="44" t="n"/>
      <c r="D3" s="44" t="n"/>
      <c r="E3" s="44" t="n"/>
      <c r="F3" s="44" t="n"/>
      <c r="G3" s="44" t="n"/>
      <c r="H3" s="44" t="n"/>
    </row>
    <row r="5" ht="30" customHeight="1" s="41">
      <c r="B5" s="54" t="inlineStr">
        <is>
          <t>WELCOME</t>
        </is>
      </c>
    </row>
    <row r="7" ht="20" customHeight="1" s="41">
      <c r="B7" s="55" t="inlineStr">
        <is>
          <t>WHAT THIS COMPANION IS FOR</t>
        </is>
      </c>
    </row>
    <row r="8" ht="14" customHeight="1" s="41">
      <c r="B8" s="56" t="inlineStr">
        <is>
          <t>This workbook is the working half of Part Three of The Norwood Files. It carries the forms from the book with the rules already written into the formulas, so that the method can be run on a real process instead of read about. Its subject is investigating a defect that has come back: classifying previous investigations, containment with an expiry, separating a cause from a companion, and verifying against exposure rather than the calendar.</t>
        </is>
      </c>
    </row>
    <row r="9" ht="14" customHeight="1" s="41"/>
    <row r="10" ht="14" customHeight="1" s="41"/>
    <row r="11" ht="14" customHeight="1" s="41"/>
    <row r="12" ht="14" customHeight="1" s="41"/>
    <row r="13" ht="14" customHeight="1" s="41"/>
    <row r="15" ht="20" customHeight="1" s="41">
      <c r="B15" s="55" t="inlineStr">
        <is>
          <t>HOW TO USE IT</t>
        </is>
      </c>
    </row>
    <row r="16" ht="14" customHeight="1" s="41">
      <c r="B16" s="56" t="inlineStr">
        <is>
          <t>Work top to bottom, in sheet order. Enter your own data; the calculated columns look after themselves. Nothing in the book depends on this file — every form is printed in full in the book and can be photocopied or rebuilt by hand. This file exists because typing formulas is not a good use of your afternoon.</t>
        </is>
      </c>
    </row>
    <row r="17" ht="14" customHeight="1" s="41"/>
    <row r="18" ht="14" customHeight="1" s="41"/>
    <row r="19" ht="14" customHeight="1" s="41"/>
    <row r="21" ht="20" customHeight="1" s="41">
      <c r="B21" s="55" t="inlineStr">
        <is>
          <t>RELATIONSHIP WITH THE BOOK</t>
        </is>
      </c>
    </row>
    <row r="22" ht="14" customHeight="1" s="41">
      <c r="B22" s="56" t="inlineStr">
        <is>
          <t>The numbered sheets carry the same Form numbers as the book. Form 13 in the book is Form 13 in this file. The sheets prefixed EXAMPLE are the worked cases from the book, complete and populated, so that you can see how a row behaves before you clear it and start on your own process.</t>
        </is>
      </c>
    </row>
    <row r="23" ht="14" customHeight="1" s="41"/>
    <row r="24" ht="14" customHeight="1" s="41"/>
    <row r="25" ht="14" customHeight="1" s="41"/>
    <row r="27" ht="20" customHeight="1" s="41">
      <c r="B27" s="55" t="inlineStr">
        <is>
          <t>READING RECOMMENDATION</t>
        </is>
      </c>
    </row>
    <row r="28" ht="14" customHeight="1" s="41">
      <c r="B28" s="56" t="inlineStr">
        <is>
          <t>Read the book’s narrative chapters first, then open this file with the book beside you. If you are working to a deadline, read the EXAMPLE sheet closest to your operation, then start on your own process — and read the chapters afterwards, because the reasoning is the transferable part.</t>
        </is>
      </c>
    </row>
    <row r="29" ht="14" customHeight="1" s="41"/>
    <row r="30" ht="14" customHeight="1" s="41"/>
    <row r="31" ht="14" customHeight="1" s="41"/>
    <row r="33" ht="20" customHeight="1" s="41">
      <c r="B33" s="55" t="inlineStr">
        <is>
          <t>CONVENTIONS USED THROUGHOUT</t>
        </is>
      </c>
    </row>
    <row r="34" ht="15" customHeight="1" s="41">
      <c r="B34" s="57" t="inlineStr">
        <is>
          <t>·</t>
        </is>
      </c>
      <c r="C34" s="52" t="inlineStr">
        <is>
          <t>Blue text on cream — you type here.</t>
        </is>
      </c>
    </row>
    <row r="35" ht="15" customHeight="1" s="41">
      <c r="B35" s="57" t="inlineStr">
        <is>
          <t>·</t>
        </is>
      </c>
      <c r="C35" s="52" t="inlineStr">
        <is>
          <t>Black bold — calculated. Do not overwrite.</t>
        </is>
      </c>
    </row>
    <row r="36" ht="15" customHeight="1" s="41">
      <c r="B36" s="57" t="inlineStr">
        <is>
          <t>·</t>
        </is>
      </c>
      <c r="C36" s="52" t="inlineStr">
        <is>
          <t>Yellow fill — attention: a value that needs a decision.</t>
        </is>
      </c>
    </row>
    <row r="37" ht="15" customHeight="1" s="41">
      <c r="B37" s="57" t="inlineStr">
        <is>
          <t>·</t>
        </is>
      </c>
      <c r="C37" s="52" t="inlineStr">
        <is>
          <t>Red ■ — a fired trigger, or a finding. Red is never used for decoration.</t>
        </is>
      </c>
    </row>
    <row r="40" ht="20" customHeight="1" s="41">
      <c r="B40" s="55" t="inlineStr">
        <is>
          <t>THE SHEETS IN THIS WORKBOOK</t>
        </is>
      </c>
    </row>
    <row r="41" ht="18" customHeight="1" s="41">
      <c r="B41" s="58" t="inlineStr">
        <is>
          <t>SHEET</t>
        </is>
      </c>
      <c r="C41" s="58" t="inlineStr">
        <is>
          <t>PURPOSE</t>
        </is>
      </c>
      <c r="D41" s="59" t="n"/>
      <c r="E41" s="59" t="n"/>
      <c r="F41" s="59" t="n"/>
      <c r="G41" s="59" t="n"/>
      <c r="H41" s="59" t="n"/>
    </row>
    <row r="42" ht="24" customHeight="1" s="41">
      <c r="B42" s="60" t="inlineStr">
        <is>
          <t>START HERE</t>
        </is>
      </c>
      <c r="C42" s="61" t="inlineStr">
        <is>
          <t>Orientation, order of work and the cell conventions.</t>
        </is>
      </c>
      <c r="D42" s="50" t="n"/>
      <c r="E42" s="50" t="n"/>
      <c r="F42" s="50" t="n"/>
      <c r="G42" s="50" t="n"/>
      <c r="H42" s="50" t="n"/>
    </row>
    <row r="43" ht="28" customHeight="1" s="41">
      <c r="B43" s="60" t="inlineStr">
        <is>
          <t>Form 12 Investigation</t>
        </is>
      </c>
      <c r="C43" s="61" t="inlineStr">
        <is>
          <t>The investigation record, with the previous closures classified before anything new begins.</t>
        </is>
      </c>
      <c r="D43" s="50" t="n"/>
      <c r="E43" s="50" t="n"/>
      <c r="F43" s="50" t="n"/>
      <c r="G43" s="50" t="n"/>
      <c r="H43" s="50" t="n"/>
    </row>
    <row r="44" ht="28" customHeight="1" s="41">
      <c r="B44" s="60" t="inlineStr">
        <is>
          <t>Form 13 Candidates</t>
        </is>
      </c>
      <c r="C44" s="61" t="inlineStr">
        <is>
          <t>Candidate causes, dated, with the observation that would confirm or kill each one.</t>
        </is>
      </c>
      <c r="D44" s="50" t="n"/>
      <c r="E44" s="50" t="n"/>
      <c r="F44" s="50" t="n"/>
      <c r="G44" s="50" t="n"/>
      <c r="H44" s="50" t="n"/>
    </row>
    <row r="45" ht="28" customHeight="1" s="41">
      <c r="B45" s="60" t="inlineStr">
        <is>
          <t>Form 14 Containment</t>
        </is>
      </c>
      <c r="C45" s="61" t="inlineStr">
        <is>
          <t>Both edges bounded by evidence, with an expiry date rather than a review date.</t>
        </is>
      </c>
      <c r="D45" s="50" t="n"/>
      <c r="E45" s="50" t="n"/>
      <c r="F45" s="50" t="n"/>
      <c r="G45" s="50" t="n"/>
      <c r="H45" s="50" t="n"/>
    </row>
    <row r="46" ht="39.5" customHeight="1" s="41">
      <c r="B46" s="60" t="inlineStr">
        <is>
          <t>Form 15 Measurement Study</t>
        </is>
      </c>
      <c r="C46" s="61" t="inlineStr">
        <is>
          <t>The attribute agreement study: repeatability, reproducibility, and agreement with a truth where one exists.</t>
        </is>
      </c>
      <c r="D46" s="50" t="n"/>
      <c r="E46" s="50" t="n"/>
      <c r="F46" s="50" t="n"/>
      <c r="G46" s="50" t="n"/>
      <c r="H46" s="50" t="n"/>
    </row>
    <row r="47" ht="39.5" customHeight="1" s="41">
      <c r="B47" s="60" t="inlineStr">
        <is>
          <t>Form 16 Corrective Action</t>
        </is>
      </c>
      <c r="C47" s="61" t="inlineStr">
        <is>
          <t>Action, hierarchy level, and a verification period set from the defect’s own recurrence history.</t>
        </is>
      </c>
      <c r="D47" s="50" t="n"/>
      <c r="E47" s="50" t="n"/>
      <c r="F47" s="50" t="n"/>
      <c r="G47" s="50" t="n"/>
      <c r="H47" s="50" t="n"/>
    </row>
    <row r="48" ht="24" customHeight="1" s="41">
      <c r="B48" s="60" t="inlineStr">
        <is>
          <t>Dashboard</t>
        </is>
      </c>
      <c r="C48" s="61" t="inlineStr">
        <is>
          <t>Investigation status and verification exposure.</t>
        </is>
      </c>
      <c r="D48" s="50" t="n"/>
      <c r="E48" s="50" t="n"/>
      <c r="F48" s="50" t="n"/>
      <c r="G48" s="50" t="n"/>
      <c r="H48" s="50" t="n"/>
    </row>
    <row r="49" ht="39.5" customHeight="1" s="41">
      <c r="B49" s="60" t="inlineStr">
        <is>
          <t>EXAMPLE A Recurring defect</t>
        </is>
      </c>
      <c r="C49" s="61" t="inlineStr">
        <is>
          <t>Worked investigation: a defect closed three times. Complete, from the book.</t>
        </is>
      </c>
      <c r="D49" s="50" t="n"/>
      <c r="E49" s="50" t="n"/>
      <c r="F49" s="50" t="n"/>
      <c r="G49" s="50" t="n"/>
      <c r="H49" s="50" t="n"/>
    </row>
    <row r="50" ht="39.5" customHeight="1" s="41">
      <c r="B50" s="60" t="inlineStr">
        <is>
          <t>EXAMPLE B Intermittent failure</t>
        </is>
      </c>
      <c r="C50" s="61" t="inlineStr">
        <is>
          <t>Worked investigation: an intermittent failure. Complete, from the book.</t>
        </is>
      </c>
      <c r="D50" s="50" t="n"/>
      <c r="E50" s="50" t="n"/>
      <c r="F50" s="50" t="n"/>
      <c r="G50" s="50" t="n"/>
      <c r="H50" s="50" t="n"/>
    </row>
    <row r="51" ht="39.5" customHeight="1" s="41">
      <c r="B51" s="60" t="inlineStr">
        <is>
          <t>EXAMPLE C Disputed complaint</t>
        </is>
      </c>
      <c r="C51" s="61" t="inlineStr">
        <is>
          <t>Worked investigation: a disputed customer complaint. Complete, from the book.</t>
        </is>
      </c>
      <c r="D51" s="50" t="n"/>
      <c r="E51" s="50" t="n"/>
      <c r="F51" s="50" t="n"/>
      <c r="G51" s="50" t="n"/>
      <c r="H51" s="50" t="n"/>
    </row>
    <row r="52" ht="24" customHeight="1" s="41">
      <c r="B52" s="60" t="inlineStr">
        <is>
          <t>About</t>
        </is>
      </c>
      <c r="C52" s="61" t="inlineStr">
        <is>
          <t>Instrument identity, document code and control status.</t>
        </is>
      </c>
      <c r="D52" s="50" t="n"/>
      <c r="E52" s="50" t="n"/>
      <c r="F52" s="50" t="n"/>
      <c r="G52" s="50" t="n"/>
      <c r="H52" s="50" t="n"/>
    </row>
    <row r="55" ht="20" customHeight="1" s="41">
      <c r="B55" s="55" t="inlineStr">
        <is>
          <t>OFFICIAL COMPANION RESOURCES</t>
        </is>
      </c>
    </row>
    <row r="56" ht="13" customHeight="1" s="41">
      <c r="B56" s="62" t="inlineStr">
        <is>
          <t>The official repository holds this workbook, the other Companions in the series, and any corrected or updated revisions. There is nothing to sign up for and no address to leave.</t>
        </is>
      </c>
    </row>
    <row r="57" ht="13" customHeight="1" s="41"/>
    <row r="58" ht="13" customHeight="1" s="41"/>
    <row r="60" ht="13" customHeight="1" s="41">
      <c r="B60" s="63" t="inlineStr">
        <is>
          <t>‹ PH-01 · Companion download address — to be inserted before publication. NF-CIP §5. ›</t>
        </is>
      </c>
    </row>
    <row r="61" ht="13" customHeight="1" s="41"/>
    <row r="63" ht="15" customHeight="1" s="41">
      <c r="B63" s="64" t="inlineStr">
        <is>
          <t>QR CODE
RESERVED
‹ PH-02 ›</t>
        </is>
      </c>
      <c r="C63" s="65" t="n"/>
      <c r="E63" s="66" t="inlineStr">
        <is>
          <t>When the repository is published, the address and its QR code are placed here, and in Appendix B of the book. Until then this space is deliberately left blank rather than filled with an address that does not yet resolve. See the traceability table in NF-CIP §5.</t>
        </is>
      </c>
    </row>
    <row r="64" ht="15" customHeight="1" s="41">
      <c r="B64" s="65" t="n"/>
      <c r="C64" s="65" t="n"/>
    </row>
    <row r="65" ht="15" customHeight="1" s="41">
      <c r="B65" s="65" t="n"/>
      <c r="C65" s="65" t="n"/>
    </row>
    <row r="66" ht="15" customHeight="1" s="41">
      <c r="B66" s="65" t="n"/>
      <c r="C66" s="65" t="n"/>
    </row>
    <row r="67" ht="15" customHeight="1" s="41">
      <c r="B67" s="65" t="n"/>
      <c r="C67" s="65" t="n"/>
    </row>
    <row r="68" ht="15" customHeight="1" s="41">
      <c r="B68" s="65" t="n"/>
      <c r="C68" s="65" t="n"/>
    </row>
    <row r="69" ht="15" customHeight="1" s="41">
      <c r="B69" s="65" t="n"/>
      <c r="C69" s="65" t="n"/>
    </row>
  </sheetData>
  <sheetProtection selectLockedCells="0" selectUnlockedCells="0" sheet="1" objects="0" insertRows="1" insertHyperlinks="1" autoFilter="1" scenarios="0" formatColumns="1" deleteColumns="1" insertColumns="1" pivotTables="1" deleteRows="1" formatCells="1" formatRows="1" sort="1"/>
  <mergeCells count="24">
    <mergeCell ref="C41:H41"/>
    <mergeCell ref="C47:H47"/>
    <mergeCell ref="C50:H50"/>
    <mergeCell ref="B22:H25"/>
    <mergeCell ref="C44:H44"/>
    <mergeCell ref="C43:H43"/>
    <mergeCell ref="B63:C69"/>
    <mergeCell ref="C51:H51"/>
    <mergeCell ref="C46:H46"/>
    <mergeCell ref="C36:H36"/>
    <mergeCell ref="C52:H52"/>
    <mergeCell ref="B8:H13"/>
    <mergeCell ref="C48:H48"/>
    <mergeCell ref="B60:H61"/>
    <mergeCell ref="B56:H58"/>
    <mergeCell ref="B28:H31"/>
    <mergeCell ref="C37:H37"/>
    <mergeCell ref="C49:H49"/>
    <mergeCell ref="C34:H34"/>
    <mergeCell ref="C42:H42"/>
    <mergeCell ref="E63:H69"/>
    <mergeCell ref="C45:H45"/>
    <mergeCell ref="C35:H35"/>
    <mergeCell ref="B16:H19"/>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5161A"/>
    <outlinePr summaryBelow="1" summaryRight="1"/>
    <pageSetUpPr fitToPage="1"/>
  </sheetPr>
  <dimension ref="B2:H46"/>
  <sheetViews>
    <sheetView showGridLines="0" tabSelected="0" topLeftCell="A1" workbookViewId="0">
      <selection activeCell="A1" sqref="A1"/>
    </sheetView>
  </sheetViews>
  <sheetFormatPr baseColWidth="8" defaultRowHeight="15"/>
  <cols>
    <col width="2.5" customWidth="1" style="41" min="1" max="1"/>
    <col width="13" customWidth="1" style="41" min="2" max="2"/>
    <col width="13" customWidth="1" style="41" min="3" max="3"/>
    <col width="13" customWidth="1" style="41" min="4" max="4"/>
    <col width="13" customWidth="1" style="41" min="5" max="5"/>
    <col width="13" customWidth="1" style="41" min="6" max="6"/>
    <col width="13" customWidth="1" style="41" min="7" max="7"/>
    <col width="13" customWidth="1" style="41" min="8" max="8"/>
    <col width="2.5" customWidth="1" style="41" min="9" max="9"/>
  </cols>
  <sheetData>
    <row r="2" ht="44" customHeight="1" s="41">
      <c r="E2" s="42" t="inlineStr">
        <is>
          <t>THE NORWOOD FILES</t>
        </is>
      </c>
      <c r="H2" s="43" t="inlineStr">
        <is>
          <t>NF-CW3  ·  v2.0</t>
        </is>
      </c>
    </row>
    <row r="3" ht="6" customHeight="1" s="41">
      <c r="B3" s="44" t="n"/>
      <c r="C3" s="44" t="n"/>
      <c r="D3" s="44" t="n"/>
      <c r="E3" s="44" t="n"/>
      <c r="F3" s="44" t="n"/>
      <c r="G3" s="44" t="n"/>
      <c r="H3" s="44" t="n"/>
    </row>
    <row r="5" ht="30" customHeight="1" s="41">
      <c r="B5" s="54" t="inlineStr">
        <is>
          <t>LICENCE AND VERSION</t>
        </is>
      </c>
    </row>
    <row r="7" ht="20" customHeight="1" s="41">
      <c r="B7" s="55" t="inlineStr">
        <is>
          <t>PUBLICATION INFORMATION</t>
        </is>
      </c>
    </row>
    <row r="8" ht="19" customHeight="1" s="41">
      <c r="B8" s="67" t="inlineStr">
        <is>
          <t>PRODUCT</t>
        </is>
      </c>
      <c r="C8" s="50" t="n"/>
      <c r="D8" s="68" t="inlineStr">
        <is>
          <t>Official Companion Workbook</t>
        </is>
      </c>
      <c r="E8" s="50" t="n"/>
      <c r="F8" s="50" t="n"/>
      <c r="G8" s="50" t="n"/>
      <c r="H8" s="50" t="n"/>
    </row>
    <row r="9" ht="19" customHeight="1" s="41">
      <c r="B9" s="67" t="inlineStr">
        <is>
          <t>TITLE</t>
        </is>
      </c>
      <c r="C9" s="50" t="n"/>
      <c r="D9" s="68" t="inlineStr">
        <is>
          <t>The Norwood Files — Companion to Part Three</t>
        </is>
      </c>
      <c r="E9" s="50" t="n"/>
      <c r="F9" s="50" t="n"/>
      <c r="G9" s="50" t="n"/>
      <c r="H9" s="50" t="n"/>
    </row>
    <row r="10" ht="19" customHeight="1" s="41">
      <c r="B10" s="67" t="inlineStr">
        <is>
          <t>COMPANION TO</t>
        </is>
      </c>
      <c r="C10" s="50" t="n"/>
      <c r="D10" s="68" t="inlineStr">
        <is>
          <t>The Norwood Files</t>
        </is>
      </c>
      <c r="E10" s="50" t="n"/>
      <c r="F10" s="50" t="n"/>
      <c r="G10" s="50" t="n"/>
      <c r="H10" s="50" t="n"/>
    </row>
    <row r="11" ht="19" customHeight="1" s="41">
      <c r="B11" s="67" t="inlineStr">
        <is>
          <t>DOCUMENT CODE</t>
        </is>
      </c>
      <c r="C11" s="50" t="n"/>
      <c r="D11" s="68" t="inlineStr">
        <is>
          <t>NF-CW3</t>
        </is>
      </c>
      <c r="E11" s="50" t="n"/>
      <c r="F11" s="50" t="n"/>
      <c r="G11" s="50" t="n"/>
      <c r="H11" s="50" t="n"/>
    </row>
    <row r="12" ht="19" customHeight="1" s="41">
      <c r="B12" s="67" t="inlineStr">
        <is>
          <t>REVISION</t>
        </is>
      </c>
      <c r="C12" s="50" t="n"/>
      <c r="D12" s="68" t="inlineStr">
        <is>
          <t>v2.0</t>
        </is>
      </c>
      <c r="E12" s="50" t="n"/>
      <c r="F12" s="50" t="n"/>
      <c r="G12" s="50" t="n"/>
      <c r="H12" s="50" t="n"/>
    </row>
    <row r="13" ht="19" customHeight="1" s="41">
      <c r="B13" s="67" t="inlineStr">
        <is>
          <t>PUBLICATION VERSION</t>
        </is>
      </c>
      <c r="C13" s="50" t="n"/>
      <c r="D13" s="68" t="inlineStr">
        <is>
          <t>v2.0  ·  issued 29 August 2026</t>
        </is>
      </c>
      <c r="E13" s="50" t="n"/>
      <c r="F13" s="50" t="n"/>
      <c r="G13" s="50" t="n"/>
      <c r="H13" s="50" t="n"/>
    </row>
    <row r="14" ht="19" customHeight="1" s="41">
      <c r="B14" s="67" t="inlineStr">
        <is>
          <t>EDITION</t>
        </is>
      </c>
      <c r="C14" s="50" t="n"/>
      <c r="D14" s="68" t="inlineStr">
        <is>
          <t>Current to the 2026 edition of ISO 9001</t>
        </is>
      </c>
      <c r="E14" s="50" t="n"/>
      <c r="F14" s="50" t="n"/>
      <c r="G14" s="50" t="n"/>
      <c r="H14" s="50" t="n"/>
    </row>
    <row r="15" ht="19" customHeight="1" s="41">
      <c r="B15" s="67" t="inlineStr">
        <is>
          <t>EDITORIAL BASELINE</t>
        </is>
      </c>
      <c r="C15" s="50" t="n"/>
      <c r="D15" s="68" t="inlineStr">
        <is>
          <t>RC-Rev9</t>
        </is>
      </c>
      <c r="E15" s="50" t="n"/>
      <c r="F15" s="50" t="n"/>
      <c r="G15" s="50" t="n"/>
      <c r="H15" s="50" t="n"/>
    </row>
    <row r="16" ht="19" customHeight="1" s="41">
      <c r="B16" s="67" t="inlineStr">
        <is>
          <t>IDENTITY</t>
        </is>
      </c>
      <c r="C16" s="50" t="n"/>
      <c r="D16" s="68" t="inlineStr">
        <is>
          <t>Norwood Brand Standards Manual v1.0</t>
        </is>
      </c>
      <c r="E16" s="50" t="n"/>
      <c r="F16" s="50" t="n"/>
      <c r="G16" s="50" t="n"/>
      <c r="H16" s="50" t="n"/>
    </row>
    <row r="17" ht="19" customHeight="1" s="41">
      <c r="B17" s="67" t="inlineStr">
        <is>
          <t>AUTHOR</t>
        </is>
      </c>
      <c r="C17" s="50" t="n"/>
      <c r="D17" s="68" t="inlineStr">
        <is>
          <t>Dan Bleigh</t>
        </is>
      </c>
      <c r="E17" s="50" t="n"/>
      <c r="F17" s="50" t="n"/>
      <c r="G17" s="50" t="n"/>
      <c r="H17" s="50" t="n"/>
    </row>
    <row r="20" ht="20" customHeight="1" s="41">
      <c r="B20" s="55" t="inlineStr">
        <is>
          <t>REPOSITORY</t>
        </is>
      </c>
    </row>
    <row r="21" ht="16" customHeight="1" s="41">
      <c r="B21" s="55" t="inlineStr">
        <is>
          <t>‹ PH-01 · Companion download address — to be inserted before publication. NF-CIP §5. ›</t>
        </is>
      </c>
    </row>
    <row r="23" ht="20" customHeight="1" s="41">
      <c r="B23" s="55" t="inlineStr">
        <is>
          <t>TERMS OF USE</t>
        </is>
      </c>
    </row>
    <row r="24" ht="13" customHeight="1" s="41">
      <c r="B24" s="69" t="inlineStr">
        <is>
          <t>Copyright © 2026 Dan Bleigh. All rights reserved.</t>
        </is>
      </c>
    </row>
    <row r="25" ht="13" customHeight="1" s="41"/>
    <row r="27" ht="13" customHeight="1" s="41">
      <c r="B27" s="69" t="inlineStr">
        <is>
          <t>This workbook accompanies The Norwood Files and is supplied free of charge with the book. You may use it, adapt it and reproduce it inside your own organization for your own quality management system.</t>
        </is>
      </c>
    </row>
    <row r="28" ht="13" customHeight="1" s="41"/>
    <row r="29" ht="13" customHeight="1" s="41"/>
    <row r="31" ht="13" customHeight="1" s="41">
      <c r="B31" s="69" t="inlineStr">
        <is>
          <t>You may not resell it, redistribute it as your own work, or present it as a certified or accredited document.</t>
        </is>
      </c>
    </row>
    <row r="32" ht="13" customHeight="1" s="41"/>
    <row r="34" ht="13" customHeight="1" s="41">
      <c r="B34" s="69" t="inlineStr">
        <is>
          <t>The forms are offered as general professional guidance. They do not constitute legal, regulatory, safety or certification advice, and no warranty is given as to any particular audit outcome.</t>
        </is>
      </c>
    </row>
    <row r="35" ht="13" customHeight="1" s="41"/>
    <row r="36" ht="13" customHeight="1" s="41"/>
    <row r="38" ht="13" customHeight="1" s="41">
      <c r="B38" s="69" t="inlineStr">
        <is>
          <t>ISO 9001 is an International Standard published by the International Organization for Standardization. This workbook is independent commentary and is not published, endorsed, sponsored or authorized by ISO, by any national standards body, or by any certification or accreditation body.</t>
        </is>
      </c>
    </row>
    <row r="39" ht="13" customHeight="1" s="41"/>
    <row r="40" ht="13" customHeight="1" s="41"/>
    <row r="41" ht="13" customHeight="1" s="41"/>
    <row r="44">
      <c r="B44" s="50" t="n"/>
      <c r="C44" s="50" t="n"/>
      <c r="D44" s="50" t="n"/>
      <c r="E44" s="50" t="n"/>
      <c r="F44" s="50" t="n"/>
      <c r="G44" s="50" t="n"/>
      <c r="H44" s="50" t="n"/>
    </row>
    <row r="46">
      <c r="B46" s="70" t="inlineStr">
        <is>
          <t>Controlled document. Changes to this instrument follow the Norwood Brand Standards Manual Part XII and NF-ECP 4.6.</t>
        </is>
      </c>
    </row>
  </sheetData>
  <sheetProtection selectLockedCells="0" selectUnlockedCells="0" sheet="1" objects="0" insertRows="1" insertHyperlinks="1" autoFilter="1" scenarios="0" formatColumns="1" deleteColumns="1" insertColumns="1" pivotTables="1" deleteRows="1" formatCells="1" formatRows="1" sort="1"/>
  <mergeCells count="17">
    <mergeCell ref="B31:H32"/>
    <mergeCell ref="D12:H12"/>
    <mergeCell ref="B24:H25"/>
    <mergeCell ref="D8:H8"/>
    <mergeCell ref="D15:H15"/>
    <mergeCell ref="D16:H16"/>
    <mergeCell ref="D10:H10"/>
    <mergeCell ref="B21:H21"/>
    <mergeCell ref="D11:H11"/>
    <mergeCell ref="D13:H13"/>
    <mergeCell ref="B34:H36"/>
    <mergeCell ref="D14:H14"/>
    <mergeCell ref="B27:H29"/>
    <mergeCell ref="B38:H41"/>
    <mergeCell ref="D17:H17"/>
    <mergeCell ref="D9:H9"/>
    <mergeCell ref="B46:H46"/>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15161A"/>
    <outlinePr summaryBelow="1" summaryRight="1"/>
    <pageSetUpPr fitToPage="0"/>
  </sheetPr>
  <dimension ref="A1:C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71" min="1" max="1"/>
    <col width="96" customWidth="1" style="71" min="2" max="2"/>
  </cols>
  <sheetData>
    <row r="1" ht="25.5" customHeight="1" s="41">
      <c r="A1" s="72" t="inlineStr">
        <is>
          <t>THE NORWOOD FILES — PART THREE COMPANION</t>
        </is>
      </c>
    </row>
    <row r="2" ht="15.75" customHeight="1" s="41">
      <c r="A2" s="73" t="inlineStr">
        <is>
          <t>The forms from Part Five. Free, no sign-up. Everything here is also printed in the book.</t>
        </is>
      </c>
    </row>
    <row r="3"/>
    <row r="4" ht="15" customHeight="1" s="41">
      <c r="A4" s="74" t="inlineStr">
        <is>
          <t>WHAT THIS IS</t>
        </is>
      </c>
    </row>
    <row r="5" ht="25.5" customHeight="1" s="41">
      <c r="B5" s="75" t="inlineStr">
        <is>
          <t>The investigation record, candidate register, containment record, attribute measurement study and corrective action record from Part Five, plus the three worked investigations from Part Three.</t>
        </is>
      </c>
    </row>
    <row r="6" ht="39" customHeight="1" s="41">
      <c r="B6" s="75" t="inlineStr">
        <is>
          <t>Nothing in the book depends on this file. Every form is printed in full and can be photocopied. This exists because counting agreement on a measurement study by hand is how people decide not to run one.</t>
        </is>
      </c>
    </row>
    <row r="7" ht="15" customHeight="1" s="41">
      <c r="A7" s="74" t="inlineStr">
        <is>
          <t>ORDER OF WORK</t>
        </is>
      </c>
    </row>
    <row r="8" ht="25.5" customHeight="1" s="41">
      <c r="B8" s="75" t="inlineStr">
        <is>
          <t>1.  Open 'Form 12 Investigation'. Fill the previous-occurrence rows first. The sequence of hierarchy levels across them is the finding before you examine any evidence.</t>
        </is>
      </c>
    </row>
    <row r="9" ht="25.5" customHeight="1" s="41">
      <c r="B9" s="75" t="inlineStr">
        <is>
          <t>2.  Fill in where the defect happens AND where it does not. Everything the two have in common is eliminated.</t>
        </is>
      </c>
    </row>
    <row r="10" ht="25.5" customHeight="1" s="41">
      <c r="B10" s="75" t="inlineStr">
        <is>
          <t>3.  Every candidate goes on 'Form 13 Candidates' and ends killed or kept. The sheet turns red on any row left undecided.</t>
        </is>
      </c>
    </row>
    <row r="11" ht="15" customHeight="1" s="41">
      <c r="B11" s="75" t="inlineStr">
        <is>
          <t>4.  'Form 14 Containment' has an expiry date, not a review date. It turns red on the day.</t>
        </is>
      </c>
    </row>
    <row r="12" ht="15" customHeight="1" s="41">
      <c r="B12" s="75" t="inlineStr">
        <is>
          <t>5.  Run 'Form 15 Measurement Study' before trusting any pass/fail data at all.</t>
        </is>
      </c>
    </row>
    <row r="13" ht="25.5" customHeight="1" s="41">
      <c r="B13" s="75" t="inlineStr">
        <is>
          <t>6.  'Form 16 Corrective Action' calculates the minimum verification period from the defect’s own recurrence history.</t>
        </is>
      </c>
    </row>
    <row r="14" ht="15" customHeight="1" s="41">
      <c r="A14" s="74" t="inlineStr">
        <is>
          <t>WHAT THE FILE ENFORCES</t>
        </is>
      </c>
    </row>
    <row r="15" ht="39" customHeight="1" s="41">
      <c r="B15" s="75" t="inlineStr">
        <is>
          <t>A candidate left undecided is flagged. A stated cause with no evidence line is flagged. A verification period shorter than twice the longest previous gap is flagged. Those three are the ways a repeat defect gets closed for the fourth time.</t>
        </is>
      </c>
    </row>
    <row r="16" ht="15" customHeight="1" s="41">
      <c r="A16" s="74" t="inlineStr">
        <is>
          <t>CAPACITY</t>
        </is>
      </c>
    </row>
    <row r="17" ht="25.5" customHeight="1" s="41">
      <c r="B17" s="75" t="inlineStr">
        <is>
          <t>60 investigations, 300 candidate rows. Formulas are in place on every row, so type into the next empty line and everything recalculates. Blank rows stay blank.</t>
        </is>
      </c>
    </row>
    <row r="18" ht="15" customHeight="1" s="41">
      <c r="A18" s="74" t="inlineStr">
        <is>
          <t>THE EXAMPLES</t>
        </is>
      </c>
    </row>
    <row r="19" ht="39" customHeight="1" s="41">
      <c r="B19" s="75" t="inlineStr">
        <is>
          <t>The three sheets prefixed EXAMPLE are the worked investigations from Part Three, with every candidate and the evidence that killed or kept it. Read the candidate register rather than the conclusion. The conclusions belong to a plant that is not yours.</t>
        </is>
      </c>
    </row>
    <row r="20" ht="15" customHeight="1" s="41">
      <c r="A20" s="74" t="inlineStr">
        <is>
          <t>CELL COLORS</t>
        </is>
      </c>
    </row>
    <row r="21" ht="15" customHeight="1" s="41">
      <c r="B21" s="75" t="inlineStr">
        <is>
          <t>Blue text on cream = you type here.  Black bold = calculated, do not overwrite.</t>
        </is>
      </c>
    </row>
    <row r="22" ht="15" customHeight="1" s="41">
      <c r="A22" s="74" t="inlineStr">
        <is>
          <t>THE SILENT EXPIRY WEBSITE</t>
        </is>
      </c>
    </row>
    <row r="23" ht="25.5" customHeight="1" s="41">
      <c r="B23" s="75" t="inlineStr">
        <is>
          <t>Explore the complete framework: the canonical definition of Silent Expiry, the documented evidence behind it, and a fifty-two article curriculum. Free to read, nothing to sign up for.</t>
        </is>
      </c>
    </row>
    <row r="24" ht="15" customHeight="1" s="55">
      <c r="B24" s="75" t="inlineStr">
        <is>
          <t>https://silent-expiry.pages.dev/</t>
        </is>
      </c>
    </row>
    <row r="25"/>
    <row r="26" ht="15" customHeight="1" s="41">
      <c r="A26" s="76" t="inlineStr">
        <is>
          <t>The Norwood Files · Companion to Part Three · v2.0 · issued 29 August 2026 · matches the omnibus first edition (build RC-Rev9)</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CD232F"/>
    <outlinePr summaryBelow="1" summaryRight="1"/>
    <pageSetUpPr fitToPage="0"/>
  </sheetPr>
  <dimension ref="A1:H68"/>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9" customWidth="1" style="71" min="1" max="1"/>
    <col width="30" customWidth="1" style="71" min="2" max="2"/>
    <col width="12" customWidth="1" style="71" min="3" max="3"/>
    <col width="16" customWidth="1" style="71" min="4" max="4"/>
    <col width="24" customWidth="1" style="71" min="5" max="5"/>
    <col width="16" customWidth="1" style="71" min="6" max="6"/>
    <col width="30" customWidth="1" style="71" min="7" max="7"/>
    <col width="13" customWidth="1" style="71" min="8" max="8"/>
  </cols>
  <sheetData>
    <row r="1" ht="25.5" customHeight="1" s="41">
      <c r="A1" s="72" t="inlineStr">
        <is>
          <t>INVESTIGATION RECORD</t>
        </is>
      </c>
    </row>
    <row r="2" ht="15.75" customHeight="1" s="41">
      <c r="A2" s="73" t="inlineStr">
        <is>
          <t>Fill the previous-occurrence rows first. The sequence of action levels is the finding.</t>
        </is>
      </c>
    </row>
    <row r="3"/>
    <row r="4" ht="30" customHeight="1" s="41">
      <c r="A4" s="77" t="inlineStr">
        <is>
          <t>Ref</t>
        </is>
      </c>
      <c r="B4" s="77" t="inlineStr">
        <is>
          <t>Symptom</t>
        </is>
      </c>
      <c r="C4" s="77" t="inlineStr">
        <is>
          <t>Raised</t>
        </is>
      </c>
      <c r="D4" s="77" t="inlineStr">
        <is>
          <t>Previous refs</t>
        </is>
      </c>
      <c r="E4" s="77" t="inlineStr">
        <is>
          <t>Levels of previous actions</t>
        </is>
      </c>
      <c r="F4" s="77" t="inlineStr">
        <is>
          <t>Defect actually began</t>
        </is>
      </c>
      <c r="G4" s="77" t="inlineStr">
        <is>
          <t>Evidence for that date</t>
        </is>
      </c>
      <c r="H4" s="77" t="inlineStr">
        <is>
          <t>Status</t>
        </is>
      </c>
    </row>
    <row r="5" ht="33.75" customHeight="1" s="41">
      <c r="A5" s="78" t="n"/>
      <c r="B5" s="78" t="n"/>
      <c r="C5" s="79" t="n"/>
      <c r="D5" s="78" t="n"/>
      <c r="E5" s="78" t="n"/>
      <c r="F5" s="79" t="n"/>
      <c r="G5" s="78" t="n"/>
      <c r="H5" s="78" t="n"/>
    </row>
    <row r="6" ht="33.75" customHeight="1" s="41">
      <c r="A6" s="80" t="n"/>
      <c r="B6" s="80" t="n"/>
      <c r="C6" s="81" t="n"/>
      <c r="D6" s="80" t="n"/>
      <c r="E6" s="80" t="n"/>
      <c r="F6" s="81" t="n"/>
      <c r="G6" s="80" t="n"/>
      <c r="H6" s="80" t="n"/>
    </row>
    <row r="7" ht="33.75" customHeight="1" s="41">
      <c r="A7" s="78" t="n"/>
      <c r="B7" s="78" t="n"/>
      <c r="C7" s="79" t="n"/>
      <c r="D7" s="78" t="n"/>
      <c r="E7" s="78" t="n"/>
      <c r="F7" s="79" t="n"/>
      <c r="G7" s="78" t="n"/>
      <c r="H7" s="78" t="n"/>
    </row>
    <row r="8" ht="33.75" customHeight="1" s="41">
      <c r="A8" s="80" t="n"/>
      <c r="B8" s="80" t="n"/>
      <c r="C8" s="81" t="n"/>
      <c r="D8" s="80" t="n"/>
      <c r="E8" s="80" t="n"/>
      <c r="F8" s="81" t="n"/>
      <c r="G8" s="80" t="n"/>
      <c r="H8" s="80" t="n"/>
    </row>
    <row r="9" ht="33.75" customHeight="1" s="41">
      <c r="A9" s="78" t="n"/>
      <c r="B9" s="78" t="n"/>
      <c r="C9" s="79" t="n"/>
      <c r="D9" s="78" t="n"/>
      <c r="E9" s="78" t="n"/>
      <c r="F9" s="79" t="n"/>
      <c r="G9" s="78" t="n"/>
      <c r="H9" s="78" t="n"/>
    </row>
    <row r="10" ht="33.75" customHeight="1" s="41">
      <c r="A10" s="80" t="n"/>
      <c r="B10" s="80" t="n"/>
      <c r="C10" s="81" t="n"/>
      <c r="D10" s="80" t="n"/>
      <c r="E10" s="80" t="n"/>
      <c r="F10" s="81" t="n"/>
      <c r="G10" s="80" t="n"/>
      <c r="H10" s="80" t="n"/>
    </row>
    <row r="11" ht="33.75" customHeight="1" s="41">
      <c r="A11" s="78" t="n"/>
      <c r="B11" s="78" t="n"/>
      <c r="C11" s="79" t="n"/>
      <c r="D11" s="78" t="n"/>
      <c r="E11" s="78" t="n"/>
      <c r="F11" s="79" t="n"/>
      <c r="G11" s="78" t="n"/>
      <c r="H11" s="78" t="n"/>
    </row>
    <row r="12" ht="33.75" customHeight="1" s="41">
      <c r="A12" s="80" t="n"/>
      <c r="B12" s="80" t="n"/>
      <c r="C12" s="81" t="n"/>
      <c r="D12" s="80" t="n"/>
      <c r="E12" s="80" t="n"/>
      <c r="F12" s="81" t="n"/>
      <c r="G12" s="80" t="n"/>
      <c r="H12" s="80" t="n"/>
    </row>
    <row r="13" ht="33.75" customHeight="1" s="41">
      <c r="A13" s="78" t="n"/>
      <c r="B13" s="78" t="n"/>
      <c r="C13" s="79" t="n"/>
      <c r="D13" s="78" t="n"/>
      <c r="E13" s="78" t="n"/>
      <c r="F13" s="79" t="n"/>
      <c r="G13" s="78" t="n"/>
      <c r="H13" s="78" t="n"/>
    </row>
    <row r="14" ht="33.75" customHeight="1" s="41">
      <c r="A14" s="80" t="n"/>
      <c r="B14" s="80" t="n"/>
      <c r="C14" s="81" t="n"/>
      <c r="D14" s="80" t="n"/>
      <c r="E14" s="80" t="n"/>
      <c r="F14" s="81" t="n"/>
      <c r="G14" s="80" t="n"/>
      <c r="H14" s="80" t="n"/>
    </row>
    <row r="15" ht="33.75" customHeight="1" s="41">
      <c r="A15" s="78" t="n"/>
      <c r="B15" s="78" t="n"/>
      <c r="C15" s="79" t="n"/>
      <c r="D15" s="78" t="n"/>
      <c r="E15" s="78" t="n"/>
      <c r="F15" s="79" t="n"/>
      <c r="G15" s="78" t="n"/>
      <c r="H15" s="78" t="n"/>
    </row>
    <row r="16" ht="33.75" customHeight="1" s="41">
      <c r="A16" s="80" t="n"/>
      <c r="B16" s="80" t="n"/>
      <c r="C16" s="81" t="n"/>
      <c r="D16" s="80" t="n"/>
      <c r="E16" s="80" t="n"/>
      <c r="F16" s="81" t="n"/>
      <c r="G16" s="80" t="n"/>
      <c r="H16" s="80" t="n"/>
    </row>
    <row r="17" ht="33.75" customHeight="1" s="41">
      <c r="A17" s="78" t="n"/>
      <c r="B17" s="78" t="n"/>
      <c r="C17" s="79" t="n"/>
      <c r="D17" s="78" t="n"/>
      <c r="E17" s="78" t="n"/>
      <c r="F17" s="79" t="n"/>
      <c r="G17" s="78" t="n"/>
      <c r="H17" s="78" t="n"/>
    </row>
    <row r="18" ht="33.75" customHeight="1" s="41">
      <c r="A18" s="80" t="n"/>
      <c r="B18" s="80" t="n"/>
      <c r="C18" s="81" t="n"/>
      <c r="D18" s="80" t="n"/>
      <c r="E18" s="80" t="n"/>
      <c r="F18" s="81" t="n"/>
      <c r="G18" s="80" t="n"/>
      <c r="H18" s="80" t="n"/>
    </row>
    <row r="19" ht="33.75" customHeight="1" s="41">
      <c r="A19" s="78" t="n"/>
      <c r="B19" s="78" t="n"/>
      <c r="C19" s="79" t="n"/>
      <c r="D19" s="78" t="n"/>
      <c r="E19" s="78" t="n"/>
      <c r="F19" s="79" t="n"/>
      <c r="G19" s="78" t="n"/>
      <c r="H19" s="78" t="n"/>
    </row>
    <row r="20" ht="33.75" customHeight="1" s="41">
      <c r="A20" s="80" t="n"/>
      <c r="B20" s="80" t="n"/>
      <c r="C20" s="81" t="n"/>
      <c r="D20" s="80" t="n"/>
      <c r="E20" s="80" t="n"/>
      <c r="F20" s="81" t="n"/>
      <c r="G20" s="80" t="n"/>
      <c r="H20" s="80" t="n"/>
    </row>
    <row r="21" ht="33.75" customHeight="1" s="41">
      <c r="A21" s="78" t="n"/>
      <c r="B21" s="78" t="n"/>
      <c r="C21" s="79" t="n"/>
      <c r="D21" s="78" t="n"/>
      <c r="E21" s="78" t="n"/>
      <c r="F21" s="79" t="n"/>
      <c r="G21" s="78" t="n"/>
      <c r="H21" s="78" t="n"/>
    </row>
    <row r="22" ht="33.75" customHeight="1" s="41">
      <c r="A22" s="80" t="n"/>
      <c r="B22" s="80" t="n"/>
      <c r="C22" s="81" t="n"/>
      <c r="D22" s="80" t="n"/>
      <c r="E22" s="80" t="n"/>
      <c r="F22" s="81" t="n"/>
      <c r="G22" s="80" t="n"/>
      <c r="H22" s="80" t="n"/>
    </row>
    <row r="23" ht="33.75" customHeight="1" s="41">
      <c r="A23" s="78" t="n"/>
      <c r="B23" s="78" t="n"/>
      <c r="C23" s="79" t="n"/>
      <c r="D23" s="78" t="n"/>
      <c r="E23" s="78" t="n"/>
      <c r="F23" s="79" t="n"/>
      <c r="G23" s="78" t="n"/>
      <c r="H23" s="78" t="n"/>
    </row>
    <row r="24" ht="33.75" customHeight="1" s="41">
      <c r="A24" s="80" t="n"/>
      <c r="B24" s="80" t="n"/>
      <c r="C24" s="81" t="n"/>
      <c r="D24" s="80" t="n"/>
      <c r="E24" s="80" t="n"/>
      <c r="F24" s="81" t="n"/>
      <c r="G24" s="80" t="n"/>
      <c r="H24" s="80" t="n"/>
    </row>
    <row r="25" ht="33.75" customHeight="1" s="41">
      <c r="A25" s="78" t="n"/>
      <c r="B25" s="78" t="n"/>
      <c r="C25" s="79" t="n"/>
      <c r="D25" s="78" t="n"/>
      <c r="E25" s="78" t="n"/>
      <c r="F25" s="79" t="n"/>
      <c r="G25" s="78" t="n"/>
      <c r="H25" s="78" t="n"/>
    </row>
    <row r="26" ht="33.75" customHeight="1" s="41">
      <c r="A26" s="80" t="n"/>
      <c r="B26" s="80" t="n"/>
      <c r="C26" s="81" t="n"/>
      <c r="D26" s="80" t="n"/>
      <c r="E26" s="80" t="n"/>
      <c r="F26" s="81" t="n"/>
      <c r="G26" s="80" t="n"/>
      <c r="H26" s="80" t="n"/>
    </row>
    <row r="27" ht="33.75" customHeight="1" s="41">
      <c r="A27" s="78" t="n"/>
      <c r="B27" s="78" t="n"/>
      <c r="C27" s="79" t="n"/>
      <c r="D27" s="78" t="n"/>
      <c r="E27" s="78" t="n"/>
      <c r="F27" s="79" t="n"/>
      <c r="G27" s="78" t="n"/>
      <c r="H27" s="78" t="n"/>
    </row>
    <row r="28" ht="33.75" customHeight="1" s="41">
      <c r="A28" s="80" t="n"/>
      <c r="B28" s="80" t="n"/>
      <c r="C28" s="81" t="n"/>
      <c r="D28" s="80" t="n"/>
      <c r="E28" s="80" t="n"/>
      <c r="F28" s="81" t="n"/>
      <c r="G28" s="80" t="n"/>
      <c r="H28" s="80" t="n"/>
    </row>
    <row r="29" ht="33.75" customHeight="1" s="41">
      <c r="A29" s="78" t="n"/>
      <c r="B29" s="78" t="n"/>
      <c r="C29" s="79" t="n"/>
      <c r="D29" s="78" t="n"/>
      <c r="E29" s="78" t="n"/>
      <c r="F29" s="79" t="n"/>
      <c r="G29" s="78" t="n"/>
      <c r="H29" s="78" t="n"/>
    </row>
    <row r="30" ht="33.75" customHeight="1" s="41">
      <c r="A30" s="80" t="n"/>
      <c r="B30" s="80" t="n"/>
      <c r="C30" s="81" t="n"/>
      <c r="D30" s="80" t="n"/>
      <c r="E30" s="80" t="n"/>
      <c r="F30" s="81" t="n"/>
      <c r="G30" s="80" t="n"/>
      <c r="H30" s="80" t="n"/>
    </row>
    <row r="31" ht="33.75" customHeight="1" s="41">
      <c r="A31" s="78" t="n"/>
      <c r="B31" s="78" t="n"/>
      <c r="C31" s="79" t="n"/>
      <c r="D31" s="78" t="n"/>
      <c r="E31" s="78" t="n"/>
      <c r="F31" s="79" t="n"/>
      <c r="G31" s="78" t="n"/>
      <c r="H31" s="78" t="n"/>
    </row>
    <row r="32" ht="33.75" customHeight="1" s="41">
      <c r="A32" s="80" t="n"/>
      <c r="B32" s="80" t="n"/>
      <c r="C32" s="81" t="n"/>
      <c r="D32" s="80" t="n"/>
      <c r="E32" s="80" t="n"/>
      <c r="F32" s="81" t="n"/>
      <c r="G32" s="80" t="n"/>
      <c r="H32" s="80" t="n"/>
    </row>
    <row r="33" ht="33.75" customHeight="1" s="41">
      <c r="A33" s="78" t="n"/>
      <c r="B33" s="78" t="n"/>
      <c r="C33" s="79" t="n"/>
      <c r="D33" s="78" t="n"/>
      <c r="E33" s="78" t="n"/>
      <c r="F33" s="79" t="n"/>
      <c r="G33" s="78" t="n"/>
      <c r="H33" s="78" t="n"/>
    </row>
    <row r="34" ht="33.75" customHeight="1" s="41">
      <c r="A34" s="80" t="n"/>
      <c r="B34" s="80" t="n"/>
      <c r="C34" s="81" t="n"/>
      <c r="D34" s="80" t="n"/>
      <c r="E34" s="80" t="n"/>
      <c r="F34" s="81" t="n"/>
      <c r="G34" s="80" t="n"/>
      <c r="H34" s="80" t="n"/>
    </row>
    <row r="35" ht="33.75" customHeight="1" s="41">
      <c r="A35" s="78" t="n"/>
      <c r="B35" s="78" t="n"/>
      <c r="C35" s="79" t="n"/>
      <c r="D35" s="78" t="n"/>
      <c r="E35" s="78" t="n"/>
      <c r="F35" s="79" t="n"/>
      <c r="G35" s="78" t="n"/>
      <c r="H35" s="78" t="n"/>
    </row>
    <row r="36" ht="33.75" customHeight="1" s="41">
      <c r="A36" s="80" t="n"/>
      <c r="B36" s="80" t="n"/>
      <c r="C36" s="81" t="n"/>
      <c r="D36" s="80" t="n"/>
      <c r="E36" s="80" t="n"/>
      <c r="F36" s="81" t="n"/>
      <c r="G36" s="80" t="n"/>
      <c r="H36" s="80" t="n"/>
    </row>
    <row r="37" ht="33.75" customHeight="1" s="41">
      <c r="A37" s="78" t="n"/>
      <c r="B37" s="78" t="n"/>
      <c r="C37" s="79" t="n"/>
      <c r="D37" s="78" t="n"/>
      <c r="E37" s="78" t="n"/>
      <c r="F37" s="79" t="n"/>
      <c r="G37" s="78" t="n"/>
      <c r="H37" s="78" t="n"/>
    </row>
    <row r="38" ht="33.75" customHeight="1" s="41">
      <c r="A38" s="80" t="n"/>
      <c r="B38" s="80" t="n"/>
      <c r="C38" s="81" t="n"/>
      <c r="D38" s="80" t="n"/>
      <c r="E38" s="80" t="n"/>
      <c r="F38" s="81" t="n"/>
      <c r="G38" s="80" t="n"/>
      <c r="H38" s="80" t="n"/>
    </row>
    <row r="39" ht="33.75" customHeight="1" s="41">
      <c r="A39" s="78" t="n"/>
      <c r="B39" s="78" t="n"/>
      <c r="C39" s="79" t="n"/>
      <c r="D39" s="78" t="n"/>
      <c r="E39" s="78" t="n"/>
      <c r="F39" s="79" t="n"/>
      <c r="G39" s="78" t="n"/>
      <c r="H39" s="78" t="n"/>
    </row>
    <row r="40" ht="33.75" customHeight="1" s="41">
      <c r="A40" s="80" t="n"/>
      <c r="B40" s="80" t="n"/>
      <c r="C40" s="81" t="n"/>
      <c r="D40" s="80" t="n"/>
      <c r="E40" s="80" t="n"/>
      <c r="F40" s="81" t="n"/>
      <c r="G40" s="80" t="n"/>
      <c r="H40" s="80" t="n"/>
    </row>
    <row r="41" ht="33.75" customHeight="1" s="41">
      <c r="A41" s="78" t="n"/>
      <c r="B41" s="78" t="n"/>
      <c r="C41" s="79" t="n"/>
      <c r="D41" s="78" t="n"/>
      <c r="E41" s="78" t="n"/>
      <c r="F41" s="79" t="n"/>
      <c r="G41" s="78" t="n"/>
      <c r="H41" s="78" t="n"/>
    </row>
    <row r="42" ht="33.75" customHeight="1" s="41">
      <c r="A42" s="80" t="n"/>
      <c r="B42" s="80" t="n"/>
      <c r="C42" s="81" t="n"/>
      <c r="D42" s="80" t="n"/>
      <c r="E42" s="80" t="n"/>
      <c r="F42" s="81" t="n"/>
      <c r="G42" s="80" t="n"/>
      <c r="H42" s="80" t="n"/>
    </row>
    <row r="43" ht="33.75" customHeight="1" s="41">
      <c r="A43" s="78" t="n"/>
      <c r="B43" s="78" t="n"/>
      <c r="C43" s="79" t="n"/>
      <c r="D43" s="78" t="n"/>
      <c r="E43" s="78" t="n"/>
      <c r="F43" s="79" t="n"/>
      <c r="G43" s="78" t="n"/>
      <c r="H43" s="78" t="n"/>
    </row>
    <row r="44" ht="33.75" customHeight="1" s="41">
      <c r="A44" s="80" t="n"/>
      <c r="B44" s="80" t="n"/>
      <c r="C44" s="81" t="n"/>
      <c r="D44" s="80" t="n"/>
      <c r="E44" s="80" t="n"/>
      <c r="F44" s="81" t="n"/>
      <c r="G44" s="80" t="n"/>
      <c r="H44" s="80" t="n"/>
    </row>
    <row r="45" ht="33.75" customHeight="1" s="41">
      <c r="A45" s="78" t="n"/>
      <c r="B45" s="78" t="n"/>
      <c r="C45" s="79" t="n"/>
      <c r="D45" s="78" t="n"/>
      <c r="E45" s="78" t="n"/>
      <c r="F45" s="79" t="n"/>
      <c r="G45" s="78" t="n"/>
      <c r="H45" s="78" t="n"/>
    </row>
    <row r="46" ht="33.75" customHeight="1" s="41">
      <c r="A46" s="80" t="n"/>
      <c r="B46" s="80" t="n"/>
      <c r="C46" s="81" t="n"/>
      <c r="D46" s="80" t="n"/>
      <c r="E46" s="80" t="n"/>
      <c r="F46" s="81" t="n"/>
      <c r="G46" s="80" t="n"/>
      <c r="H46" s="80" t="n"/>
    </row>
    <row r="47" ht="33.75" customHeight="1" s="41">
      <c r="A47" s="78" t="n"/>
      <c r="B47" s="78" t="n"/>
      <c r="C47" s="79" t="n"/>
      <c r="D47" s="78" t="n"/>
      <c r="E47" s="78" t="n"/>
      <c r="F47" s="79" t="n"/>
      <c r="G47" s="78" t="n"/>
      <c r="H47" s="78" t="n"/>
    </row>
    <row r="48" ht="33.75" customHeight="1" s="41">
      <c r="A48" s="80" t="n"/>
      <c r="B48" s="80" t="n"/>
      <c r="C48" s="81" t="n"/>
      <c r="D48" s="80" t="n"/>
      <c r="E48" s="80" t="n"/>
      <c r="F48" s="81" t="n"/>
      <c r="G48" s="80" t="n"/>
      <c r="H48" s="80" t="n"/>
    </row>
    <row r="49" ht="33.75" customHeight="1" s="41">
      <c r="A49" s="78" t="n"/>
      <c r="B49" s="78" t="n"/>
      <c r="C49" s="79" t="n"/>
      <c r="D49" s="78" t="n"/>
      <c r="E49" s="78" t="n"/>
      <c r="F49" s="79" t="n"/>
      <c r="G49" s="78" t="n"/>
      <c r="H49" s="78" t="n"/>
    </row>
    <row r="50" ht="33.75" customHeight="1" s="41">
      <c r="A50" s="80" t="n"/>
      <c r="B50" s="80" t="n"/>
      <c r="C50" s="81" t="n"/>
      <c r="D50" s="80" t="n"/>
      <c r="E50" s="80" t="n"/>
      <c r="F50" s="81" t="n"/>
      <c r="G50" s="80" t="n"/>
      <c r="H50" s="80" t="n"/>
    </row>
    <row r="51" ht="33.75" customHeight="1" s="41">
      <c r="A51" s="78" t="n"/>
      <c r="B51" s="78" t="n"/>
      <c r="C51" s="79" t="n"/>
      <c r="D51" s="78" t="n"/>
      <c r="E51" s="78" t="n"/>
      <c r="F51" s="79" t="n"/>
      <c r="G51" s="78" t="n"/>
      <c r="H51" s="78" t="n"/>
    </row>
    <row r="52" ht="33.75" customHeight="1" s="41">
      <c r="A52" s="80" t="n"/>
      <c r="B52" s="80" t="n"/>
      <c r="C52" s="81" t="n"/>
      <c r="D52" s="80" t="n"/>
      <c r="E52" s="80" t="n"/>
      <c r="F52" s="81" t="n"/>
      <c r="G52" s="80" t="n"/>
      <c r="H52" s="80" t="n"/>
    </row>
    <row r="53" ht="33.75" customHeight="1" s="41">
      <c r="A53" s="78" t="n"/>
      <c r="B53" s="78" t="n"/>
      <c r="C53" s="79" t="n"/>
      <c r="D53" s="78" t="n"/>
      <c r="E53" s="78" t="n"/>
      <c r="F53" s="79" t="n"/>
      <c r="G53" s="78" t="n"/>
      <c r="H53" s="78" t="n"/>
    </row>
    <row r="54" ht="33.75" customHeight="1" s="41">
      <c r="A54" s="80" t="n"/>
      <c r="B54" s="80" t="n"/>
      <c r="C54" s="81" t="n"/>
      <c r="D54" s="80" t="n"/>
      <c r="E54" s="80" t="n"/>
      <c r="F54" s="81" t="n"/>
      <c r="G54" s="80" t="n"/>
      <c r="H54" s="80" t="n"/>
    </row>
    <row r="55" ht="33.75" customHeight="1" s="41">
      <c r="A55" s="78" t="n"/>
      <c r="B55" s="78" t="n"/>
      <c r="C55" s="79" t="n"/>
      <c r="D55" s="78" t="n"/>
      <c r="E55" s="78" t="n"/>
      <c r="F55" s="79" t="n"/>
      <c r="G55" s="78" t="n"/>
      <c r="H55" s="78" t="n"/>
    </row>
    <row r="56" ht="33.75" customHeight="1" s="41">
      <c r="A56" s="80" t="n"/>
      <c r="B56" s="80" t="n"/>
      <c r="C56" s="81" t="n"/>
      <c r="D56" s="80" t="n"/>
      <c r="E56" s="80" t="n"/>
      <c r="F56" s="81" t="n"/>
      <c r="G56" s="80" t="n"/>
      <c r="H56" s="80" t="n"/>
    </row>
    <row r="57" ht="33.75" customHeight="1" s="41">
      <c r="A57" s="78" t="n"/>
      <c r="B57" s="78" t="n"/>
      <c r="C57" s="79" t="n"/>
      <c r="D57" s="78" t="n"/>
      <c r="E57" s="78" t="n"/>
      <c r="F57" s="79" t="n"/>
      <c r="G57" s="78" t="n"/>
      <c r="H57" s="78" t="n"/>
    </row>
    <row r="58" ht="33.75" customHeight="1" s="41">
      <c r="A58" s="80" t="n"/>
      <c r="B58" s="80" t="n"/>
      <c r="C58" s="81" t="n"/>
      <c r="D58" s="80" t="n"/>
      <c r="E58" s="80" t="n"/>
      <c r="F58" s="81" t="n"/>
      <c r="G58" s="80" t="n"/>
      <c r="H58" s="80" t="n"/>
    </row>
    <row r="59" ht="33.75" customHeight="1" s="41">
      <c r="A59" s="78" t="n"/>
      <c r="B59" s="78" t="n"/>
      <c r="C59" s="79" t="n"/>
      <c r="D59" s="78" t="n"/>
      <c r="E59" s="78" t="n"/>
      <c r="F59" s="79" t="n"/>
      <c r="G59" s="78" t="n"/>
      <c r="H59" s="78" t="n"/>
    </row>
    <row r="60" ht="33.75" customHeight="1" s="41">
      <c r="A60" s="80" t="n"/>
      <c r="B60" s="80" t="n"/>
      <c r="C60" s="81" t="n"/>
      <c r="D60" s="80" t="n"/>
      <c r="E60" s="80" t="n"/>
      <c r="F60" s="81" t="n"/>
      <c r="G60" s="80" t="n"/>
      <c r="H60" s="80" t="n"/>
    </row>
    <row r="61" ht="33.75" customHeight="1" s="41">
      <c r="A61" s="78" t="n"/>
      <c r="B61" s="78" t="n"/>
      <c r="C61" s="79" t="n"/>
      <c r="D61" s="78" t="n"/>
      <c r="E61" s="78" t="n"/>
      <c r="F61" s="79" t="n"/>
      <c r="G61" s="78" t="n"/>
      <c r="H61" s="78" t="n"/>
    </row>
    <row r="62" ht="33.75" customHeight="1" s="41">
      <c r="A62" s="80" t="n"/>
      <c r="B62" s="80" t="n"/>
      <c r="C62" s="81" t="n"/>
      <c r="D62" s="80" t="n"/>
      <c r="E62" s="80" t="n"/>
      <c r="F62" s="81" t="n"/>
      <c r="G62" s="80" t="n"/>
      <c r="H62" s="80" t="n"/>
    </row>
    <row r="63" ht="33.75" customHeight="1" s="41">
      <c r="A63" s="78" t="n"/>
      <c r="B63" s="78" t="n"/>
      <c r="C63" s="79" t="n"/>
      <c r="D63" s="78" t="n"/>
      <c r="E63" s="78" t="n"/>
      <c r="F63" s="79" t="n"/>
      <c r="G63" s="78" t="n"/>
      <c r="H63" s="78" t="n"/>
    </row>
    <row r="64" ht="33.75" customHeight="1" s="41">
      <c r="A64" s="80" t="n"/>
      <c r="B64" s="80" t="n"/>
      <c r="C64" s="81" t="n"/>
      <c r="D64" s="80" t="n"/>
      <c r="E64" s="80" t="n"/>
      <c r="F64" s="81" t="n"/>
      <c r="G64" s="80" t="n"/>
      <c r="H64" s="80" t="n"/>
    </row>
    <row r="65" ht="15.75" customHeight="1" s="41">
      <c r="A65" s="82" t="inlineStr">
        <is>
          <t>END OF FORM—rows below this line are not included in any calculation</t>
        </is>
      </c>
    </row>
    <row r="66"/>
    <row r="67" ht="15" customHeight="1" s="41">
      <c r="A67" s="83" t="inlineStr">
        <is>
          <t>A sequence of hierarchy levels that descends across successive investigations of the same defect—3, then 4, then 5—means the cause has never been touched. That is visible in twenty minutes with the closed files, before any new evidence is examined.</t>
        </is>
      </c>
    </row>
    <row r="68" ht="15" customHeight="1" s="41"/>
  </sheetData>
  <sheetProtection selectLockedCells="0" selectUnlockedCells="0" sheet="1" objects="0" insertRows="1" insertHyperlinks="1" autoFilter="1" scenarios="0" formatColumns="1" deleteColumns="1" insertColumns="1" pivotTables="1" deleteRows="1" formatCells="1" formatRows="1" sort="1"/>
  <autoFilter ref="A4:H64"/>
  <mergeCells count="4">
    <mergeCell ref="A65:H65"/>
    <mergeCell ref="A2:H2"/>
    <mergeCell ref="A67:H68"/>
    <mergeCell ref="A1:H1"/>
  </mergeCells>
  <conditionalFormatting sqref="H5:H64">
    <cfRule type="expression" rank="0" priority="2" equalAverage="0" aboveAverage="0" dxfId="4" text="" percent="0" bottom="0">
      <formula>$H5="closed"</formula>
    </cfRule>
    <cfRule type="expression" rank="0" priority="3" equalAverage="0" aboveAverage="0" dxfId="5" text="" percent="0" bottom="0">
      <formula>$H5="open"</formula>
    </cfRule>
  </conditionalFormatting>
  <dataValidations count="1">
    <dataValidation sqref="H5:H64" showDropDown="0" showInputMessage="0" showErrorMessage="1" allowBlank="1" type="list" errorStyle="stop" operator="between">
      <formula1>"open,cause identified,action in place,verifying,closed"</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G30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71" min="1" max="1"/>
    <col width="13" customWidth="1" style="71" min="2" max="2"/>
    <col width="34" customWidth="1" style="71" min="3" max="3"/>
    <col width="13" customWidth="1" style="71" min="4" max="4"/>
    <col width="18" customWidth="1" style="71" min="5" max="5"/>
    <col width="42" customWidth="1" style="71" min="6" max="6"/>
    <col width="20" customWidth="1" style="71" min="7" max="7"/>
  </cols>
  <sheetData>
    <row r="1" ht="25.5" customHeight="1" s="41">
      <c r="A1" s="72" t="inlineStr">
        <is>
          <t>CANDIDATE REGISTER</t>
        </is>
      </c>
    </row>
    <row r="2" ht="15.75" customHeight="1" s="41">
      <c r="A2" s="73" t="inlineStr">
        <is>
          <t>Every candidate ends killed or kept. A row left undecided is flagged—that is the one that brings the defect back.</t>
        </is>
      </c>
    </row>
    <row r="3"/>
    <row r="4" ht="30" customHeight="1" s="41">
      <c r="A4" s="77" t="inlineStr">
        <is>
          <t>Ref</t>
        </is>
      </c>
      <c r="B4" s="77" t="inlineStr">
        <is>
          <t>Investigation</t>
        </is>
      </c>
      <c r="C4" s="77" t="inlineStr">
        <is>
          <t>Candidate cause</t>
        </is>
      </c>
      <c r="D4" s="77" t="inlineStr">
        <is>
          <t>Killed / kept</t>
        </is>
      </c>
      <c r="E4" s="77" t="inlineStr">
        <is>
          <t>Date this candidate began</t>
        </is>
      </c>
      <c r="F4" s="77" t="inlineStr">
        <is>
          <t>Evidence</t>
        </is>
      </c>
      <c r="G4" s="77" t="inlineStr">
        <is>
          <t>Check</t>
        </is>
      </c>
    </row>
    <row r="5" ht="33.75" customHeight="1" s="41">
      <c r="A5" s="84" t="n"/>
      <c r="B5" s="84" t="n"/>
      <c r="C5" s="78" t="n"/>
      <c r="D5" s="84" t="n"/>
      <c r="E5" s="79" t="n"/>
      <c r="F5" s="78" t="n"/>
      <c r="G5" s="85">
        <f>IF(C5="","",IF(D5="","UNDECIDED",IF(F5="","NO EVIDENCE","")))</f>
        <v/>
      </c>
    </row>
    <row r="6" ht="33.75" customHeight="1" s="41">
      <c r="A6" s="86" t="n"/>
      <c r="B6" s="86" t="n"/>
      <c r="C6" s="80" t="n"/>
      <c r="D6" s="86" t="n"/>
      <c r="E6" s="81" t="n"/>
      <c r="F6" s="80" t="n"/>
      <c r="G6" s="85">
        <f>IF(C6="","",IF(D6="","UNDECIDED",IF(F6="","NO EVIDENCE","")))</f>
        <v/>
      </c>
    </row>
    <row r="7" ht="33.75" customHeight="1" s="41">
      <c r="A7" s="84" t="n"/>
      <c r="B7" s="84" t="n"/>
      <c r="C7" s="78" t="n"/>
      <c r="D7" s="84" t="n"/>
      <c r="E7" s="79" t="n"/>
      <c r="F7" s="78" t="n"/>
      <c r="G7" s="85">
        <f>IF(C7="","",IF(D7="","UNDECIDED",IF(F7="","NO EVIDENCE","")))</f>
        <v/>
      </c>
    </row>
    <row r="8" ht="33.75" customHeight="1" s="41">
      <c r="A8" s="86" t="n"/>
      <c r="B8" s="86" t="n"/>
      <c r="C8" s="80" t="n"/>
      <c r="D8" s="86" t="n"/>
      <c r="E8" s="81" t="n"/>
      <c r="F8" s="80" t="n"/>
      <c r="G8" s="85">
        <f>IF(C8="","",IF(D8="","UNDECIDED",IF(F8="","NO EVIDENCE","")))</f>
        <v/>
      </c>
    </row>
    <row r="9" ht="33.75" customHeight="1" s="41">
      <c r="A9" s="84" t="n"/>
      <c r="B9" s="84" t="n"/>
      <c r="C9" s="78" t="n"/>
      <c r="D9" s="84" t="n"/>
      <c r="E9" s="79" t="n"/>
      <c r="F9" s="78" t="n"/>
      <c r="G9" s="85">
        <f>IF(C9="","",IF(D9="","UNDECIDED",IF(F9="","NO EVIDENCE","")))</f>
        <v/>
      </c>
    </row>
    <row r="10" ht="33.75" customHeight="1" s="41">
      <c r="A10" s="86" t="n"/>
      <c r="B10" s="86" t="n"/>
      <c r="C10" s="80" t="n"/>
      <c r="D10" s="86" t="n"/>
      <c r="E10" s="81" t="n"/>
      <c r="F10" s="80" t="n"/>
      <c r="G10" s="85">
        <f>IF(C10="","",IF(D10="","UNDECIDED",IF(F10="","NO EVIDENCE","")))</f>
        <v/>
      </c>
    </row>
    <row r="11" ht="33.75" customHeight="1" s="41">
      <c r="A11" s="84" t="n"/>
      <c r="B11" s="84" t="n"/>
      <c r="C11" s="78" t="n"/>
      <c r="D11" s="84" t="n"/>
      <c r="E11" s="79" t="n"/>
      <c r="F11" s="78" t="n"/>
      <c r="G11" s="85">
        <f>IF(C11="","",IF(D11="","UNDECIDED",IF(F11="","NO EVIDENCE","")))</f>
        <v/>
      </c>
    </row>
    <row r="12" ht="33.75" customHeight="1" s="41">
      <c r="A12" s="86" t="n"/>
      <c r="B12" s="86" t="n"/>
      <c r="C12" s="80" t="n"/>
      <c r="D12" s="86" t="n"/>
      <c r="E12" s="81" t="n"/>
      <c r="F12" s="80" t="n"/>
      <c r="G12" s="85">
        <f>IF(C12="","",IF(D12="","UNDECIDED",IF(F12="","NO EVIDENCE","")))</f>
        <v/>
      </c>
    </row>
    <row r="13" ht="33.75" customHeight="1" s="41">
      <c r="A13" s="84" t="n"/>
      <c r="B13" s="84" t="n"/>
      <c r="C13" s="78" t="n"/>
      <c r="D13" s="84" t="n"/>
      <c r="E13" s="79" t="n"/>
      <c r="F13" s="78" t="n"/>
      <c r="G13" s="85">
        <f>IF(C13="","",IF(D13="","UNDECIDED",IF(F13="","NO EVIDENCE","")))</f>
        <v/>
      </c>
    </row>
    <row r="14" ht="33.75" customHeight="1" s="41">
      <c r="A14" s="86" t="n"/>
      <c r="B14" s="86" t="n"/>
      <c r="C14" s="80" t="n"/>
      <c r="D14" s="86" t="n"/>
      <c r="E14" s="81" t="n"/>
      <c r="F14" s="80" t="n"/>
      <c r="G14" s="85">
        <f>IF(C14="","",IF(D14="","UNDECIDED",IF(F14="","NO EVIDENCE","")))</f>
        <v/>
      </c>
    </row>
    <row r="15" ht="33.75" customHeight="1" s="41">
      <c r="A15" s="84" t="n"/>
      <c r="B15" s="84" t="n"/>
      <c r="C15" s="78" t="n"/>
      <c r="D15" s="84" t="n"/>
      <c r="E15" s="79" t="n"/>
      <c r="F15" s="78" t="n"/>
      <c r="G15" s="85">
        <f>IF(C15="","",IF(D15="","UNDECIDED",IF(F15="","NO EVIDENCE","")))</f>
        <v/>
      </c>
    </row>
    <row r="16" ht="33.75" customHeight="1" s="41">
      <c r="A16" s="86" t="n"/>
      <c r="B16" s="86" t="n"/>
      <c r="C16" s="80" t="n"/>
      <c r="D16" s="86" t="n"/>
      <c r="E16" s="81" t="n"/>
      <c r="F16" s="80" t="n"/>
      <c r="G16" s="85">
        <f>IF(C16="","",IF(D16="","UNDECIDED",IF(F16="","NO EVIDENCE","")))</f>
        <v/>
      </c>
    </row>
    <row r="17" ht="33.75" customHeight="1" s="41">
      <c r="A17" s="84" t="n"/>
      <c r="B17" s="84" t="n"/>
      <c r="C17" s="78" t="n"/>
      <c r="D17" s="84" t="n"/>
      <c r="E17" s="79" t="n"/>
      <c r="F17" s="78" t="n"/>
      <c r="G17" s="85">
        <f>IF(C17="","",IF(D17="","UNDECIDED",IF(F17="","NO EVIDENCE","")))</f>
        <v/>
      </c>
    </row>
    <row r="18" ht="33.75" customHeight="1" s="41">
      <c r="A18" s="86" t="n"/>
      <c r="B18" s="86" t="n"/>
      <c r="C18" s="80" t="n"/>
      <c r="D18" s="86" t="n"/>
      <c r="E18" s="81" t="n"/>
      <c r="F18" s="80" t="n"/>
      <c r="G18" s="85">
        <f>IF(C18="","",IF(D18="","UNDECIDED",IF(F18="","NO EVIDENCE","")))</f>
        <v/>
      </c>
    </row>
    <row r="19" ht="33.75" customHeight="1" s="41">
      <c r="A19" s="84" t="n"/>
      <c r="B19" s="84" t="n"/>
      <c r="C19" s="78" t="n"/>
      <c r="D19" s="84" t="n"/>
      <c r="E19" s="79" t="n"/>
      <c r="F19" s="78" t="n"/>
      <c r="G19" s="85">
        <f>IF(C19="","",IF(D19="","UNDECIDED",IF(F19="","NO EVIDENCE","")))</f>
        <v/>
      </c>
    </row>
    <row r="20" ht="33.75" customHeight="1" s="41">
      <c r="A20" s="86" t="n"/>
      <c r="B20" s="86" t="n"/>
      <c r="C20" s="80" t="n"/>
      <c r="D20" s="86" t="n"/>
      <c r="E20" s="81" t="n"/>
      <c r="F20" s="80" t="n"/>
      <c r="G20" s="85">
        <f>IF(C20="","",IF(D20="","UNDECIDED",IF(F20="","NO EVIDENCE","")))</f>
        <v/>
      </c>
    </row>
    <row r="21" ht="33.75" customHeight="1" s="41">
      <c r="A21" s="84" t="n"/>
      <c r="B21" s="84" t="n"/>
      <c r="C21" s="78" t="n"/>
      <c r="D21" s="84" t="n"/>
      <c r="E21" s="79" t="n"/>
      <c r="F21" s="78" t="n"/>
      <c r="G21" s="85">
        <f>IF(C21="","",IF(D21="","UNDECIDED",IF(F21="","NO EVIDENCE","")))</f>
        <v/>
      </c>
    </row>
    <row r="22" ht="33.75" customHeight="1" s="41">
      <c r="A22" s="86" t="n"/>
      <c r="B22" s="86" t="n"/>
      <c r="C22" s="80" t="n"/>
      <c r="D22" s="86" t="n"/>
      <c r="E22" s="81" t="n"/>
      <c r="F22" s="80" t="n"/>
      <c r="G22" s="85">
        <f>IF(C22="","",IF(D22="","UNDECIDED",IF(F22="","NO EVIDENCE","")))</f>
        <v/>
      </c>
    </row>
    <row r="23" ht="33.75" customHeight="1" s="41">
      <c r="A23" s="84" t="n"/>
      <c r="B23" s="84" t="n"/>
      <c r="C23" s="78" t="n"/>
      <c r="D23" s="84" t="n"/>
      <c r="E23" s="79" t="n"/>
      <c r="F23" s="78" t="n"/>
      <c r="G23" s="85">
        <f>IF(C23="","",IF(D23="","UNDECIDED",IF(F23="","NO EVIDENCE","")))</f>
        <v/>
      </c>
    </row>
    <row r="24" ht="33.75" customHeight="1" s="41">
      <c r="A24" s="86" t="n"/>
      <c r="B24" s="86" t="n"/>
      <c r="C24" s="80" t="n"/>
      <c r="D24" s="86" t="n"/>
      <c r="E24" s="81" t="n"/>
      <c r="F24" s="80" t="n"/>
      <c r="G24" s="85">
        <f>IF(C24="","",IF(D24="","UNDECIDED",IF(F24="","NO EVIDENCE","")))</f>
        <v/>
      </c>
    </row>
    <row r="25" ht="33.75" customHeight="1" s="41">
      <c r="A25" s="84" t="n"/>
      <c r="B25" s="84" t="n"/>
      <c r="C25" s="78" t="n"/>
      <c r="D25" s="84" t="n"/>
      <c r="E25" s="79" t="n"/>
      <c r="F25" s="78" t="n"/>
      <c r="G25" s="85">
        <f>IF(C25="","",IF(D25="","UNDECIDED",IF(F25="","NO EVIDENCE","")))</f>
        <v/>
      </c>
    </row>
    <row r="26" ht="33.75" customHeight="1" s="41">
      <c r="A26" s="86" t="n"/>
      <c r="B26" s="86" t="n"/>
      <c r="C26" s="80" t="n"/>
      <c r="D26" s="86" t="n"/>
      <c r="E26" s="81" t="n"/>
      <c r="F26" s="80" t="n"/>
      <c r="G26" s="85">
        <f>IF(C26="","",IF(D26="","UNDECIDED",IF(F26="","NO EVIDENCE","")))</f>
        <v/>
      </c>
    </row>
    <row r="27" ht="33.75" customHeight="1" s="41">
      <c r="A27" s="84" t="n"/>
      <c r="B27" s="84" t="n"/>
      <c r="C27" s="78" t="n"/>
      <c r="D27" s="84" t="n"/>
      <c r="E27" s="79" t="n"/>
      <c r="F27" s="78" t="n"/>
      <c r="G27" s="85">
        <f>IF(C27="","",IF(D27="","UNDECIDED",IF(F27="","NO EVIDENCE","")))</f>
        <v/>
      </c>
    </row>
    <row r="28" ht="33.75" customHeight="1" s="41">
      <c r="A28" s="86" t="n"/>
      <c r="B28" s="86" t="n"/>
      <c r="C28" s="80" t="n"/>
      <c r="D28" s="86" t="n"/>
      <c r="E28" s="81" t="n"/>
      <c r="F28" s="80" t="n"/>
      <c r="G28" s="85">
        <f>IF(C28="","",IF(D28="","UNDECIDED",IF(F28="","NO EVIDENCE","")))</f>
        <v/>
      </c>
    </row>
    <row r="29" ht="33.75" customHeight="1" s="41">
      <c r="A29" s="84" t="n"/>
      <c r="B29" s="84" t="n"/>
      <c r="C29" s="78" t="n"/>
      <c r="D29" s="84" t="n"/>
      <c r="E29" s="79" t="n"/>
      <c r="F29" s="78" t="n"/>
      <c r="G29" s="85">
        <f>IF(C29="","",IF(D29="","UNDECIDED",IF(F29="","NO EVIDENCE","")))</f>
        <v/>
      </c>
    </row>
    <row r="30" ht="33.75" customHeight="1" s="41">
      <c r="A30" s="86" t="n"/>
      <c r="B30" s="86" t="n"/>
      <c r="C30" s="80" t="n"/>
      <c r="D30" s="86" t="n"/>
      <c r="E30" s="81" t="n"/>
      <c r="F30" s="80" t="n"/>
      <c r="G30" s="85">
        <f>IF(C30="","",IF(D30="","UNDECIDED",IF(F30="","NO EVIDENCE","")))</f>
        <v/>
      </c>
    </row>
    <row r="31" ht="33.75" customHeight="1" s="41">
      <c r="A31" s="84" t="n"/>
      <c r="B31" s="84" t="n"/>
      <c r="C31" s="78" t="n"/>
      <c r="D31" s="84" t="n"/>
      <c r="E31" s="79" t="n"/>
      <c r="F31" s="78" t="n"/>
      <c r="G31" s="85">
        <f>IF(C31="","",IF(D31="","UNDECIDED",IF(F31="","NO EVIDENCE","")))</f>
        <v/>
      </c>
    </row>
    <row r="32" ht="33.75" customHeight="1" s="41">
      <c r="A32" s="86" t="n"/>
      <c r="B32" s="86" t="n"/>
      <c r="C32" s="80" t="n"/>
      <c r="D32" s="86" t="n"/>
      <c r="E32" s="81" t="n"/>
      <c r="F32" s="80" t="n"/>
      <c r="G32" s="85">
        <f>IF(C32="","",IF(D32="","UNDECIDED",IF(F32="","NO EVIDENCE","")))</f>
        <v/>
      </c>
    </row>
    <row r="33" ht="33.75" customHeight="1" s="41">
      <c r="A33" s="84" t="n"/>
      <c r="B33" s="84" t="n"/>
      <c r="C33" s="78" t="n"/>
      <c r="D33" s="84" t="n"/>
      <c r="E33" s="79" t="n"/>
      <c r="F33" s="78" t="n"/>
      <c r="G33" s="85">
        <f>IF(C33="","",IF(D33="","UNDECIDED",IF(F33="","NO EVIDENCE","")))</f>
        <v/>
      </c>
    </row>
    <row r="34" ht="33.75" customHeight="1" s="41">
      <c r="A34" s="86" t="n"/>
      <c r="B34" s="86" t="n"/>
      <c r="C34" s="80" t="n"/>
      <c r="D34" s="86" t="n"/>
      <c r="E34" s="81" t="n"/>
      <c r="F34" s="80" t="n"/>
      <c r="G34" s="85">
        <f>IF(C34="","",IF(D34="","UNDECIDED",IF(F34="","NO EVIDENCE","")))</f>
        <v/>
      </c>
    </row>
    <row r="35" ht="33.75" customHeight="1" s="41">
      <c r="A35" s="84" t="n"/>
      <c r="B35" s="84" t="n"/>
      <c r="C35" s="78" t="n"/>
      <c r="D35" s="84" t="n"/>
      <c r="E35" s="79" t="n"/>
      <c r="F35" s="78" t="n"/>
      <c r="G35" s="85">
        <f>IF(C35="","",IF(D35="","UNDECIDED",IF(F35="","NO EVIDENCE","")))</f>
        <v/>
      </c>
    </row>
    <row r="36" ht="33.75" customHeight="1" s="41">
      <c r="A36" s="86" t="n"/>
      <c r="B36" s="86" t="n"/>
      <c r="C36" s="80" t="n"/>
      <c r="D36" s="86" t="n"/>
      <c r="E36" s="81" t="n"/>
      <c r="F36" s="80" t="n"/>
      <c r="G36" s="85">
        <f>IF(C36="","",IF(D36="","UNDECIDED",IF(F36="","NO EVIDENCE","")))</f>
        <v/>
      </c>
    </row>
    <row r="37" ht="33.75" customHeight="1" s="41">
      <c r="A37" s="84" t="n"/>
      <c r="B37" s="84" t="n"/>
      <c r="C37" s="78" t="n"/>
      <c r="D37" s="84" t="n"/>
      <c r="E37" s="79" t="n"/>
      <c r="F37" s="78" t="n"/>
      <c r="G37" s="85">
        <f>IF(C37="","",IF(D37="","UNDECIDED",IF(F37="","NO EVIDENCE","")))</f>
        <v/>
      </c>
    </row>
    <row r="38" ht="33.75" customHeight="1" s="41">
      <c r="A38" s="86" t="n"/>
      <c r="B38" s="86" t="n"/>
      <c r="C38" s="80" t="n"/>
      <c r="D38" s="86" t="n"/>
      <c r="E38" s="81" t="n"/>
      <c r="F38" s="80" t="n"/>
      <c r="G38" s="85">
        <f>IF(C38="","",IF(D38="","UNDECIDED",IF(F38="","NO EVIDENCE","")))</f>
        <v/>
      </c>
    </row>
    <row r="39" ht="33.75" customHeight="1" s="41">
      <c r="A39" s="84" t="n"/>
      <c r="B39" s="84" t="n"/>
      <c r="C39" s="78" t="n"/>
      <c r="D39" s="84" t="n"/>
      <c r="E39" s="79" t="n"/>
      <c r="F39" s="78" t="n"/>
      <c r="G39" s="85">
        <f>IF(C39="","",IF(D39="","UNDECIDED",IF(F39="","NO EVIDENCE","")))</f>
        <v/>
      </c>
    </row>
    <row r="40" ht="33.75" customHeight="1" s="41">
      <c r="A40" s="86" t="n"/>
      <c r="B40" s="86" t="n"/>
      <c r="C40" s="80" t="n"/>
      <c r="D40" s="86" t="n"/>
      <c r="E40" s="81" t="n"/>
      <c r="F40" s="80" t="n"/>
      <c r="G40" s="85">
        <f>IF(C40="","",IF(D40="","UNDECIDED",IF(F40="","NO EVIDENCE","")))</f>
        <v/>
      </c>
    </row>
    <row r="41" ht="33.75" customHeight="1" s="41">
      <c r="A41" s="84" t="n"/>
      <c r="B41" s="84" t="n"/>
      <c r="C41" s="78" t="n"/>
      <c r="D41" s="84" t="n"/>
      <c r="E41" s="79" t="n"/>
      <c r="F41" s="78" t="n"/>
      <c r="G41" s="85">
        <f>IF(C41="","",IF(D41="","UNDECIDED",IF(F41="","NO EVIDENCE","")))</f>
        <v/>
      </c>
    </row>
    <row r="42" ht="33.75" customHeight="1" s="41">
      <c r="A42" s="86" t="n"/>
      <c r="B42" s="86" t="n"/>
      <c r="C42" s="80" t="n"/>
      <c r="D42" s="86" t="n"/>
      <c r="E42" s="81" t="n"/>
      <c r="F42" s="80" t="n"/>
      <c r="G42" s="85">
        <f>IF(C42="","",IF(D42="","UNDECIDED",IF(F42="","NO EVIDENCE","")))</f>
        <v/>
      </c>
    </row>
    <row r="43" ht="33.75" customHeight="1" s="41">
      <c r="A43" s="84" t="n"/>
      <c r="B43" s="84" t="n"/>
      <c r="C43" s="78" t="n"/>
      <c r="D43" s="84" t="n"/>
      <c r="E43" s="79" t="n"/>
      <c r="F43" s="78" t="n"/>
      <c r="G43" s="85">
        <f>IF(C43="","",IF(D43="","UNDECIDED",IF(F43="","NO EVIDENCE","")))</f>
        <v/>
      </c>
    </row>
    <row r="44" ht="33.75" customHeight="1" s="41">
      <c r="A44" s="86" t="n"/>
      <c r="B44" s="86" t="n"/>
      <c r="C44" s="80" t="n"/>
      <c r="D44" s="86" t="n"/>
      <c r="E44" s="81" t="n"/>
      <c r="F44" s="80" t="n"/>
      <c r="G44" s="85">
        <f>IF(C44="","",IF(D44="","UNDECIDED",IF(F44="","NO EVIDENCE","")))</f>
        <v/>
      </c>
    </row>
    <row r="45" ht="33.75" customHeight="1" s="41">
      <c r="A45" s="84" t="n"/>
      <c r="B45" s="84" t="n"/>
      <c r="C45" s="78" t="n"/>
      <c r="D45" s="84" t="n"/>
      <c r="E45" s="79" t="n"/>
      <c r="F45" s="78" t="n"/>
      <c r="G45" s="85">
        <f>IF(C45="","",IF(D45="","UNDECIDED",IF(F45="","NO EVIDENCE","")))</f>
        <v/>
      </c>
    </row>
    <row r="46" ht="33.75" customHeight="1" s="41">
      <c r="A46" s="86" t="n"/>
      <c r="B46" s="86" t="n"/>
      <c r="C46" s="80" t="n"/>
      <c r="D46" s="86" t="n"/>
      <c r="E46" s="81" t="n"/>
      <c r="F46" s="80" t="n"/>
      <c r="G46" s="85">
        <f>IF(C46="","",IF(D46="","UNDECIDED",IF(F46="","NO EVIDENCE","")))</f>
        <v/>
      </c>
    </row>
    <row r="47" ht="33.75" customHeight="1" s="41">
      <c r="A47" s="84" t="n"/>
      <c r="B47" s="84" t="n"/>
      <c r="C47" s="78" t="n"/>
      <c r="D47" s="84" t="n"/>
      <c r="E47" s="79" t="n"/>
      <c r="F47" s="78" t="n"/>
      <c r="G47" s="85">
        <f>IF(C47="","",IF(D47="","UNDECIDED",IF(F47="","NO EVIDENCE","")))</f>
        <v/>
      </c>
    </row>
    <row r="48" ht="33.75" customHeight="1" s="41">
      <c r="A48" s="86" t="n"/>
      <c r="B48" s="86" t="n"/>
      <c r="C48" s="80" t="n"/>
      <c r="D48" s="86" t="n"/>
      <c r="E48" s="81" t="n"/>
      <c r="F48" s="80" t="n"/>
      <c r="G48" s="85">
        <f>IF(C48="","",IF(D48="","UNDECIDED",IF(F48="","NO EVIDENCE","")))</f>
        <v/>
      </c>
    </row>
    <row r="49" ht="33.75" customHeight="1" s="41">
      <c r="A49" s="84" t="n"/>
      <c r="B49" s="84" t="n"/>
      <c r="C49" s="78" t="n"/>
      <c r="D49" s="84" t="n"/>
      <c r="E49" s="79" t="n"/>
      <c r="F49" s="78" t="n"/>
      <c r="G49" s="85">
        <f>IF(C49="","",IF(D49="","UNDECIDED",IF(F49="","NO EVIDENCE","")))</f>
        <v/>
      </c>
    </row>
    <row r="50" ht="33.75" customHeight="1" s="41">
      <c r="A50" s="86" t="n"/>
      <c r="B50" s="86" t="n"/>
      <c r="C50" s="80" t="n"/>
      <c r="D50" s="86" t="n"/>
      <c r="E50" s="81" t="n"/>
      <c r="F50" s="80" t="n"/>
      <c r="G50" s="85">
        <f>IF(C50="","",IF(D50="","UNDECIDED",IF(F50="","NO EVIDENCE","")))</f>
        <v/>
      </c>
    </row>
    <row r="51" ht="33.75" customHeight="1" s="41">
      <c r="A51" s="84" t="n"/>
      <c r="B51" s="84" t="n"/>
      <c r="C51" s="78" t="n"/>
      <c r="D51" s="84" t="n"/>
      <c r="E51" s="79" t="n"/>
      <c r="F51" s="78" t="n"/>
      <c r="G51" s="85">
        <f>IF(C51="","",IF(D51="","UNDECIDED",IF(F51="","NO EVIDENCE","")))</f>
        <v/>
      </c>
    </row>
    <row r="52" ht="33.75" customHeight="1" s="41">
      <c r="A52" s="86" t="n"/>
      <c r="B52" s="86" t="n"/>
      <c r="C52" s="80" t="n"/>
      <c r="D52" s="86" t="n"/>
      <c r="E52" s="81" t="n"/>
      <c r="F52" s="80" t="n"/>
      <c r="G52" s="85">
        <f>IF(C52="","",IF(D52="","UNDECIDED",IF(F52="","NO EVIDENCE","")))</f>
        <v/>
      </c>
    </row>
    <row r="53" ht="33.75" customHeight="1" s="41">
      <c r="A53" s="84" t="n"/>
      <c r="B53" s="84" t="n"/>
      <c r="C53" s="78" t="n"/>
      <c r="D53" s="84" t="n"/>
      <c r="E53" s="79" t="n"/>
      <c r="F53" s="78" t="n"/>
      <c r="G53" s="85">
        <f>IF(C53="","",IF(D53="","UNDECIDED",IF(F53="","NO EVIDENCE","")))</f>
        <v/>
      </c>
    </row>
    <row r="54" ht="33.75" customHeight="1" s="41">
      <c r="A54" s="86" t="n"/>
      <c r="B54" s="86" t="n"/>
      <c r="C54" s="80" t="n"/>
      <c r="D54" s="86" t="n"/>
      <c r="E54" s="81" t="n"/>
      <c r="F54" s="80" t="n"/>
      <c r="G54" s="85">
        <f>IF(C54="","",IF(D54="","UNDECIDED",IF(F54="","NO EVIDENCE","")))</f>
        <v/>
      </c>
    </row>
    <row r="55" ht="33.75" customHeight="1" s="41">
      <c r="A55" s="84" t="n"/>
      <c r="B55" s="84" t="n"/>
      <c r="C55" s="78" t="n"/>
      <c r="D55" s="84" t="n"/>
      <c r="E55" s="79" t="n"/>
      <c r="F55" s="78" t="n"/>
      <c r="G55" s="85">
        <f>IF(C55="","",IF(D55="","UNDECIDED",IF(F55="","NO EVIDENCE","")))</f>
        <v/>
      </c>
    </row>
    <row r="56" ht="33.75" customHeight="1" s="41">
      <c r="A56" s="86" t="n"/>
      <c r="B56" s="86" t="n"/>
      <c r="C56" s="80" t="n"/>
      <c r="D56" s="86" t="n"/>
      <c r="E56" s="81" t="n"/>
      <c r="F56" s="80" t="n"/>
      <c r="G56" s="85">
        <f>IF(C56="","",IF(D56="","UNDECIDED",IF(F56="","NO EVIDENCE","")))</f>
        <v/>
      </c>
    </row>
    <row r="57" ht="33.75" customHeight="1" s="41">
      <c r="A57" s="84" t="n"/>
      <c r="B57" s="84" t="n"/>
      <c r="C57" s="78" t="n"/>
      <c r="D57" s="84" t="n"/>
      <c r="E57" s="79" t="n"/>
      <c r="F57" s="78" t="n"/>
      <c r="G57" s="85">
        <f>IF(C57="","",IF(D57="","UNDECIDED",IF(F57="","NO EVIDENCE","")))</f>
        <v/>
      </c>
    </row>
    <row r="58" ht="33.75" customHeight="1" s="41">
      <c r="A58" s="86" t="n"/>
      <c r="B58" s="86" t="n"/>
      <c r="C58" s="80" t="n"/>
      <c r="D58" s="86" t="n"/>
      <c r="E58" s="81" t="n"/>
      <c r="F58" s="80" t="n"/>
      <c r="G58" s="85">
        <f>IF(C58="","",IF(D58="","UNDECIDED",IF(F58="","NO EVIDENCE","")))</f>
        <v/>
      </c>
    </row>
    <row r="59" ht="33.75" customHeight="1" s="41">
      <c r="A59" s="84" t="n"/>
      <c r="B59" s="84" t="n"/>
      <c r="C59" s="78" t="n"/>
      <c r="D59" s="84" t="n"/>
      <c r="E59" s="79" t="n"/>
      <c r="F59" s="78" t="n"/>
      <c r="G59" s="85">
        <f>IF(C59="","",IF(D59="","UNDECIDED",IF(F59="","NO EVIDENCE","")))</f>
        <v/>
      </c>
    </row>
    <row r="60" ht="33.75" customHeight="1" s="41">
      <c r="A60" s="86" t="n"/>
      <c r="B60" s="86" t="n"/>
      <c r="C60" s="80" t="n"/>
      <c r="D60" s="86" t="n"/>
      <c r="E60" s="81" t="n"/>
      <c r="F60" s="80" t="n"/>
      <c r="G60" s="85">
        <f>IF(C60="","",IF(D60="","UNDECIDED",IF(F60="","NO EVIDENCE","")))</f>
        <v/>
      </c>
    </row>
    <row r="61" ht="33.75" customHeight="1" s="41">
      <c r="A61" s="84" t="n"/>
      <c r="B61" s="84" t="n"/>
      <c r="C61" s="78" t="n"/>
      <c r="D61" s="84" t="n"/>
      <c r="E61" s="79" t="n"/>
      <c r="F61" s="78" t="n"/>
      <c r="G61" s="85">
        <f>IF(C61="","",IF(D61="","UNDECIDED",IF(F61="","NO EVIDENCE","")))</f>
        <v/>
      </c>
    </row>
    <row r="62" ht="33.75" customHeight="1" s="41">
      <c r="A62" s="86" t="n"/>
      <c r="B62" s="86" t="n"/>
      <c r="C62" s="80" t="n"/>
      <c r="D62" s="86" t="n"/>
      <c r="E62" s="81" t="n"/>
      <c r="F62" s="80" t="n"/>
      <c r="G62" s="85">
        <f>IF(C62="","",IF(D62="","UNDECIDED",IF(F62="","NO EVIDENCE","")))</f>
        <v/>
      </c>
    </row>
    <row r="63" ht="33.75" customHeight="1" s="41">
      <c r="A63" s="84" t="n"/>
      <c r="B63" s="84" t="n"/>
      <c r="C63" s="78" t="n"/>
      <c r="D63" s="84" t="n"/>
      <c r="E63" s="79" t="n"/>
      <c r="F63" s="78" t="n"/>
      <c r="G63" s="85">
        <f>IF(C63="","",IF(D63="","UNDECIDED",IF(F63="","NO EVIDENCE","")))</f>
        <v/>
      </c>
    </row>
    <row r="64" ht="33.75" customHeight="1" s="41">
      <c r="A64" s="86" t="n"/>
      <c r="B64" s="86" t="n"/>
      <c r="C64" s="80" t="n"/>
      <c r="D64" s="86" t="n"/>
      <c r="E64" s="81" t="n"/>
      <c r="F64" s="80" t="n"/>
      <c r="G64" s="85">
        <f>IF(C64="","",IF(D64="","UNDECIDED",IF(F64="","NO EVIDENCE","")))</f>
        <v/>
      </c>
    </row>
    <row r="65" ht="33.75" customHeight="1" s="41">
      <c r="A65" s="84" t="n"/>
      <c r="B65" s="84" t="n"/>
      <c r="C65" s="78" t="n"/>
      <c r="D65" s="84" t="n"/>
      <c r="E65" s="79" t="n"/>
      <c r="F65" s="78" t="n"/>
      <c r="G65" s="85">
        <f>IF(C65="","",IF(D65="","UNDECIDED",IF(F65="","NO EVIDENCE","")))</f>
        <v/>
      </c>
    </row>
    <row r="66" ht="33.75" customHeight="1" s="41">
      <c r="A66" s="86" t="n"/>
      <c r="B66" s="86" t="n"/>
      <c r="C66" s="80" t="n"/>
      <c r="D66" s="86" t="n"/>
      <c r="E66" s="81" t="n"/>
      <c r="F66" s="80" t="n"/>
      <c r="G66" s="85">
        <f>IF(C66="","",IF(D66="","UNDECIDED",IF(F66="","NO EVIDENCE","")))</f>
        <v/>
      </c>
    </row>
    <row r="67" ht="33.75" customHeight="1" s="41">
      <c r="A67" s="84" t="n"/>
      <c r="B67" s="84" t="n"/>
      <c r="C67" s="78" t="n"/>
      <c r="D67" s="84" t="n"/>
      <c r="E67" s="79" t="n"/>
      <c r="F67" s="78" t="n"/>
      <c r="G67" s="85">
        <f>IF(C67="","",IF(D67="","UNDECIDED",IF(F67="","NO EVIDENCE","")))</f>
        <v/>
      </c>
    </row>
    <row r="68" ht="33.75" customHeight="1" s="41">
      <c r="A68" s="86" t="n"/>
      <c r="B68" s="86" t="n"/>
      <c r="C68" s="80" t="n"/>
      <c r="D68" s="86" t="n"/>
      <c r="E68" s="81" t="n"/>
      <c r="F68" s="80" t="n"/>
      <c r="G68" s="85">
        <f>IF(C68="","",IF(D68="","UNDECIDED",IF(F68="","NO EVIDENCE","")))</f>
        <v/>
      </c>
    </row>
    <row r="69" ht="33.75" customHeight="1" s="41">
      <c r="A69" s="84" t="n"/>
      <c r="B69" s="84" t="n"/>
      <c r="C69" s="78" t="n"/>
      <c r="D69" s="84" t="n"/>
      <c r="E69" s="79" t="n"/>
      <c r="F69" s="78" t="n"/>
      <c r="G69" s="85">
        <f>IF(C69="","",IF(D69="","UNDECIDED",IF(F69="","NO EVIDENCE","")))</f>
        <v/>
      </c>
    </row>
    <row r="70" ht="33.75" customHeight="1" s="41">
      <c r="A70" s="86" t="n"/>
      <c r="B70" s="86" t="n"/>
      <c r="C70" s="80" t="n"/>
      <c r="D70" s="86" t="n"/>
      <c r="E70" s="81" t="n"/>
      <c r="F70" s="80" t="n"/>
      <c r="G70" s="85">
        <f>IF(C70="","",IF(D70="","UNDECIDED",IF(F70="","NO EVIDENCE","")))</f>
        <v/>
      </c>
    </row>
    <row r="71" ht="33.75" customHeight="1" s="41">
      <c r="A71" s="84" t="n"/>
      <c r="B71" s="84" t="n"/>
      <c r="C71" s="78" t="n"/>
      <c r="D71" s="84" t="n"/>
      <c r="E71" s="79" t="n"/>
      <c r="F71" s="78" t="n"/>
      <c r="G71" s="85">
        <f>IF(C71="","",IF(D71="","UNDECIDED",IF(F71="","NO EVIDENCE","")))</f>
        <v/>
      </c>
    </row>
    <row r="72" ht="33.75" customHeight="1" s="41">
      <c r="A72" s="86" t="n"/>
      <c r="B72" s="86" t="n"/>
      <c r="C72" s="80" t="n"/>
      <c r="D72" s="86" t="n"/>
      <c r="E72" s="81" t="n"/>
      <c r="F72" s="80" t="n"/>
      <c r="G72" s="85">
        <f>IF(C72="","",IF(D72="","UNDECIDED",IF(F72="","NO EVIDENCE","")))</f>
        <v/>
      </c>
    </row>
    <row r="73" ht="33.75" customHeight="1" s="41">
      <c r="A73" s="84" t="n"/>
      <c r="B73" s="84" t="n"/>
      <c r="C73" s="78" t="n"/>
      <c r="D73" s="84" t="n"/>
      <c r="E73" s="79" t="n"/>
      <c r="F73" s="78" t="n"/>
      <c r="G73" s="85">
        <f>IF(C73="","",IF(D73="","UNDECIDED",IF(F73="","NO EVIDENCE","")))</f>
        <v/>
      </c>
    </row>
    <row r="74" ht="33.75" customHeight="1" s="41">
      <c r="A74" s="86" t="n"/>
      <c r="B74" s="86" t="n"/>
      <c r="C74" s="80" t="n"/>
      <c r="D74" s="86" t="n"/>
      <c r="E74" s="81" t="n"/>
      <c r="F74" s="80" t="n"/>
      <c r="G74" s="85">
        <f>IF(C74="","",IF(D74="","UNDECIDED",IF(F74="","NO EVIDENCE","")))</f>
        <v/>
      </c>
    </row>
    <row r="75" ht="33.75" customHeight="1" s="41">
      <c r="A75" s="84" t="n"/>
      <c r="B75" s="84" t="n"/>
      <c r="C75" s="78" t="n"/>
      <c r="D75" s="84" t="n"/>
      <c r="E75" s="79" t="n"/>
      <c r="F75" s="78" t="n"/>
      <c r="G75" s="85">
        <f>IF(C75="","",IF(D75="","UNDECIDED",IF(F75="","NO EVIDENCE","")))</f>
        <v/>
      </c>
    </row>
    <row r="76" ht="33.75" customHeight="1" s="41">
      <c r="A76" s="86" t="n"/>
      <c r="B76" s="86" t="n"/>
      <c r="C76" s="80" t="n"/>
      <c r="D76" s="86" t="n"/>
      <c r="E76" s="81" t="n"/>
      <c r="F76" s="80" t="n"/>
      <c r="G76" s="85">
        <f>IF(C76="","",IF(D76="","UNDECIDED",IF(F76="","NO EVIDENCE","")))</f>
        <v/>
      </c>
    </row>
    <row r="77" ht="33.75" customHeight="1" s="41">
      <c r="A77" s="84" t="n"/>
      <c r="B77" s="84" t="n"/>
      <c r="C77" s="78" t="n"/>
      <c r="D77" s="84" t="n"/>
      <c r="E77" s="79" t="n"/>
      <c r="F77" s="78" t="n"/>
      <c r="G77" s="85">
        <f>IF(C77="","",IF(D77="","UNDECIDED",IF(F77="","NO EVIDENCE","")))</f>
        <v/>
      </c>
    </row>
    <row r="78" ht="33.75" customHeight="1" s="41">
      <c r="A78" s="86" t="n"/>
      <c r="B78" s="86" t="n"/>
      <c r="C78" s="80" t="n"/>
      <c r="D78" s="86" t="n"/>
      <c r="E78" s="81" t="n"/>
      <c r="F78" s="80" t="n"/>
      <c r="G78" s="85">
        <f>IF(C78="","",IF(D78="","UNDECIDED",IF(F78="","NO EVIDENCE","")))</f>
        <v/>
      </c>
    </row>
    <row r="79" ht="33.75" customHeight="1" s="41">
      <c r="A79" s="84" t="n"/>
      <c r="B79" s="84" t="n"/>
      <c r="C79" s="78" t="n"/>
      <c r="D79" s="84" t="n"/>
      <c r="E79" s="79" t="n"/>
      <c r="F79" s="78" t="n"/>
      <c r="G79" s="85">
        <f>IF(C79="","",IF(D79="","UNDECIDED",IF(F79="","NO EVIDENCE","")))</f>
        <v/>
      </c>
    </row>
    <row r="80" ht="33.75" customHeight="1" s="41">
      <c r="A80" s="86" t="n"/>
      <c r="B80" s="86" t="n"/>
      <c r="C80" s="80" t="n"/>
      <c r="D80" s="86" t="n"/>
      <c r="E80" s="81" t="n"/>
      <c r="F80" s="80" t="n"/>
      <c r="G80" s="85">
        <f>IF(C80="","",IF(D80="","UNDECIDED",IF(F80="","NO EVIDENCE","")))</f>
        <v/>
      </c>
    </row>
    <row r="81" ht="33.75" customHeight="1" s="41">
      <c r="A81" s="84" t="n"/>
      <c r="B81" s="84" t="n"/>
      <c r="C81" s="78" t="n"/>
      <c r="D81" s="84" t="n"/>
      <c r="E81" s="79" t="n"/>
      <c r="F81" s="78" t="n"/>
      <c r="G81" s="85">
        <f>IF(C81="","",IF(D81="","UNDECIDED",IF(F81="","NO EVIDENCE","")))</f>
        <v/>
      </c>
    </row>
    <row r="82" ht="33.75" customHeight="1" s="41">
      <c r="A82" s="86" t="n"/>
      <c r="B82" s="86" t="n"/>
      <c r="C82" s="80" t="n"/>
      <c r="D82" s="86" t="n"/>
      <c r="E82" s="81" t="n"/>
      <c r="F82" s="80" t="n"/>
      <c r="G82" s="85">
        <f>IF(C82="","",IF(D82="","UNDECIDED",IF(F82="","NO EVIDENCE","")))</f>
        <v/>
      </c>
    </row>
    <row r="83" ht="33.75" customHeight="1" s="41">
      <c r="A83" s="84" t="n"/>
      <c r="B83" s="84" t="n"/>
      <c r="C83" s="78" t="n"/>
      <c r="D83" s="84" t="n"/>
      <c r="E83" s="79" t="n"/>
      <c r="F83" s="78" t="n"/>
      <c r="G83" s="85">
        <f>IF(C83="","",IF(D83="","UNDECIDED",IF(F83="","NO EVIDENCE","")))</f>
        <v/>
      </c>
    </row>
    <row r="84" ht="33.75" customHeight="1" s="41">
      <c r="A84" s="86" t="n"/>
      <c r="B84" s="86" t="n"/>
      <c r="C84" s="80" t="n"/>
      <c r="D84" s="86" t="n"/>
      <c r="E84" s="81" t="n"/>
      <c r="F84" s="80" t="n"/>
      <c r="G84" s="85">
        <f>IF(C84="","",IF(D84="","UNDECIDED",IF(F84="","NO EVIDENCE","")))</f>
        <v/>
      </c>
    </row>
    <row r="85" ht="33.75" customHeight="1" s="41">
      <c r="A85" s="84" t="n"/>
      <c r="B85" s="84" t="n"/>
      <c r="C85" s="78" t="n"/>
      <c r="D85" s="84" t="n"/>
      <c r="E85" s="79" t="n"/>
      <c r="F85" s="78" t="n"/>
      <c r="G85" s="85">
        <f>IF(C85="","",IF(D85="","UNDECIDED",IF(F85="","NO EVIDENCE","")))</f>
        <v/>
      </c>
    </row>
    <row r="86" ht="33.75" customHeight="1" s="41">
      <c r="A86" s="86" t="n"/>
      <c r="B86" s="86" t="n"/>
      <c r="C86" s="80" t="n"/>
      <c r="D86" s="86" t="n"/>
      <c r="E86" s="81" t="n"/>
      <c r="F86" s="80" t="n"/>
      <c r="G86" s="85">
        <f>IF(C86="","",IF(D86="","UNDECIDED",IF(F86="","NO EVIDENCE","")))</f>
        <v/>
      </c>
    </row>
    <row r="87" ht="33.75" customHeight="1" s="41">
      <c r="A87" s="84" t="n"/>
      <c r="B87" s="84" t="n"/>
      <c r="C87" s="78" t="n"/>
      <c r="D87" s="84" t="n"/>
      <c r="E87" s="79" t="n"/>
      <c r="F87" s="78" t="n"/>
      <c r="G87" s="85">
        <f>IF(C87="","",IF(D87="","UNDECIDED",IF(F87="","NO EVIDENCE","")))</f>
        <v/>
      </c>
    </row>
    <row r="88" ht="33.75" customHeight="1" s="41">
      <c r="A88" s="86" t="n"/>
      <c r="B88" s="86" t="n"/>
      <c r="C88" s="80" t="n"/>
      <c r="D88" s="86" t="n"/>
      <c r="E88" s="81" t="n"/>
      <c r="F88" s="80" t="n"/>
      <c r="G88" s="85">
        <f>IF(C88="","",IF(D88="","UNDECIDED",IF(F88="","NO EVIDENCE","")))</f>
        <v/>
      </c>
    </row>
    <row r="89" ht="33.75" customHeight="1" s="41">
      <c r="A89" s="84" t="n"/>
      <c r="B89" s="84" t="n"/>
      <c r="C89" s="78" t="n"/>
      <c r="D89" s="84" t="n"/>
      <c r="E89" s="79" t="n"/>
      <c r="F89" s="78" t="n"/>
      <c r="G89" s="85">
        <f>IF(C89="","",IF(D89="","UNDECIDED",IF(F89="","NO EVIDENCE","")))</f>
        <v/>
      </c>
    </row>
    <row r="90" ht="33.75" customHeight="1" s="41">
      <c r="A90" s="86" t="n"/>
      <c r="B90" s="86" t="n"/>
      <c r="C90" s="80" t="n"/>
      <c r="D90" s="86" t="n"/>
      <c r="E90" s="81" t="n"/>
      <c r="F90" s="80" t="n"/>
      <c r="G90" s="85">
        <f>IF(C90="","",IF(D90="","UNDECIDED",IF(F90="","NO EVIDENCE","")))</f>
        <v/>
      </c>
    </row>
    <row r="91" ht="33.75" customHeight="1" s="41">
      <c r="A91" s="84" t="n"/>
      <c r="B91" s="84" t="n"/>
      <c r="C91" s="78" t="n"/>
      <c r="D91" s="84" t="n"/>
      <c r="E91" s="79" t="n"/>
      <c r="F91" s="78" t="n"/>
      <c r="G91" s="85">
        <f>IF(C91="","",IF(D91="","UNDECIDED",IF(F91="","NO EVIDENCE","")))</f>
        <v/>
      </c>
    </row>
    <row r="92" ht="33.75" customHeight="1" s="41">
      <c r="A92" s="86" t="n"/>
      <c r="B92" s="86" t="n"/>
      <c r="C92" s="80" t="n"/>
      <c r="D92" s="86" t="n"/>
      <c r="E92" s="81" t="n"/>
      <c r="F92" s="80" t="n"/>
      <c r="G92" s="85">
        <f>IF(C92="","",IF(D92="","UNDECIDED",IF(F92="","NO EVIDENCE","")))</f>
        <v/>
      </c>
    </row>
    <row r="93" ht="33.75" customHeight="1" s="41">
      <c r="A93" s="84" t="n"/>
      <c r="B93" s="84" t="n"/>
      <c r="C93" s="78" t="n"/>
      <c r="D93" s="84" t="n"/>
      <c r="E93" s="79" t="n"/>
      <c r="F93" s="78" t="n"/>
      <c r="G93" s="85">
        <f>IF(C93="","",IF(D93="","UNDECIDED",IF(F93="","NO EVIDENCE","")))</f>
        <v/>
      </c>
    </row>
    <row r="94" ht="33.75" customHeight="1" s="41">
      <c r="A94" s="86" t="n"/>
      <c r="B94" s="86" t="n"/>
      <c r="C94" s="80" t="n"/>
      <c r="D94" s="86" t="n"/>
      <c r="E94" s="81" t="n"/>
      <c r="F94" s="80" t="n"/>
      <c r="G94" s="85">
        <f>IF(C94="","",IF(D94="","UNDECIDED",IF(F94="","NO EVIDENCE","")))</f>
        <v/>
      </c>
    </row>
    <row r="95" ht="33.75" customHeight="1" s="41">
      <c r="A95" s="84" t="n"/>
      <c r="B95" s="84" t="n"/>
      <c r="C95" s="78" t="n"/>
      <c r="D95" s="84" t="n"/>
      <c r="E95" s="79" t="n"/>
      <c r="F95" s="78" t="n"/>
      <c r="G95" s="85">
        <f>IF(C95="","",IF(D95="","UNDECIDED",IF(F95="","NO EVIDENCE","")))</f>
        <v/>
      </c>
    </row>
    <row r="96" ht="33.75" customHeight="1" s="41">
      <c r="A96" s="86" t="n"/>
      <c r="B96" s="86" t="n"/>
      <c r="C96" s="80" t="n"/>
      <c r="D96" s="86" t="n"/>
      <c r="E96" s="81" t="n"/>
      <c r="F96" s="80" t="n"/>
      <c r="G96" s="85">
        <f>IF(C96="","",IF(D96="","UNDECIDED",IF(F96="","NO EVIDENCE","")))</f>
        <v/>
      </c>
    </row>
    <row r="97" ht="33.75" customHeight="1" s="41">
      <c r="A97" s="84" t="n"/>
      <c r="B97" s="84" t="n"/>
      <c r="C97" s="78" t="n"/>
      <c r="D97" s="84" t="n"/>
      <c r="E97" s="79" t="n"/>
      <c r="F97" s="78" t="n"/>
      <c r="G97" s="85">
        <f>IF(C97="","",IF(D97="","UNDECIDED",IF(F97="","NO EVIDENCE","")))</f>
        <v/>
      </c>
    </row>
    <row r="98" ht="33.75" customHeight="1" s="41">
      <c r="A98" s="86" t="n"/>
      <c r="B98" s="86" t="n"/>
      <c r="C98" s="80" t="n"/>
      <c r="D98" s="86" t="n"/>
      <c r="E98" s="81" t="n"/>
      <c r="F98" s="80" t="n"/>
      <c r="G98" s="85">
        <f>IF(C98="","",IF(D98="","UNDECIDED",IF(F98="","NO EVIDENCE","")))</f>
        <v/>
      </c>
    </row>
    <row r="99" ht="33.75" customHeight="1" s="41">
      <c r="A99" s="84" t="n"/>
      <c r="B99" s="84" t="n"/>
      <c r="C99" s="78" t="n"/>
      <c r="D99" s="84" t="n"/>
      <c r="E99" s="79" t="n"/>
      <c r="F99" s="78" t="n"/>
      <c r="G99" s="85">
        <f>IF(C99="","",IF(D99="","UNDECIDED",IF(F99="","NO EVIDENCE","")))</f>
        <v/>
      </c>
    </row>
    <row r="100" ht="33.75" customHeight="1" s="41">
      <c r="A100" s="86" t="n"/>
      <c r="B100" s="86" t="n"/>
      <c r="C100" s="80" t="n"/>
      <c r="D100" s="86" t="n"/>
      <c r="E100" s="81" t="n"/>
      <c r="F100" s="80" t="n"/>
      <c r="G100" s="85">
        <f>IF(C100="","",IF(D100="","UNDECIDED",IF(F100="","NO EVIDENCE","")))</f>
        <v/>
      </c>
    </row>
    <row r="101" ht="33.75" customHeight="1" s="41">
      <c r="A101" s="84" t="n"/>
      <c r="B101" s="84" t="n"/>
      <c r="C101" s="78" t="n"/>
      <c r="D101" s="84" t="n"/>
      <c r="E101" s="79" t="n"/>
      <c r="F101" s="78" t="n"/>
      <c r="G101" s="85">
        <f>IF(C101="","",IF(D101="","UNDECIDED",IF(F101="","NO EVIDENCE","")))</f>
        <v/>
      </c>
    </row>
    <row r="102" ht="33.75" customHeight="1" s="41">
      <c r="A102" s="86" t="n"/>
      <c r="B102" s="86" t="n"/>
      <c r="C102" s="80" t="n"/>
      <c r="D102" s="86" t="n"/>
      <c r="E102" s="81" t="n"/>
      <c r="F102" s="80" t="n"/>
      <c r="G102" s="85">
        <f>IF(C102="","",IF(D102="","UNDECIDED",IF(F102="","NO EVIDENCE","")))</f>
        <v/>
      </c>
    </row>
    <row r="103" ht="33.75" customHeight="1" s="41">
      <c r="A103" s="84" t="n"/>
      <c r="B103" s="84" t="n"/>
      <c r="C103" s="78" t="n"/>
      <c r="D103" s="84" t="n"/>
      <c r="E103" s="79" t="n"/>
      <c r="F103" s="78" t="n"/>
      <c r="G103" s="85">
        <f>IF(C103="","",IF(D103="","UNDECIDED",IF(F103="","NO EVIDENCE","")))</f>
        <v/>
      </c>
    </row>
    <row r="104" ht="33.75" customHeight="1" s="41">
      <c r="A104" s="86" t="n"/>
      <c r="B104" s="86" t="n"/>
      <c r="C104" s="80" t="n"/>
      <c r="D104" s="86" t="n"/>
      <c r="E104" s="81" t="n"/>
      <c r="F104" s="80" t="n"/>
      <c r="G104" s="85">
        <f>IF(C104="","",IF(D104="","UNDECIDED",IF(F104="","NO EVIDENCE","")))</f>
        <v/>
      </c>
    </row>
    <row r="105" ht="33.75" customHeight="1" s="41">
      <c r="A105" s="84" t="n"/>
      <c r="B105" s="84" t="n"/>
      <c r="C105" s="78" t="n"/>
      <c r="D105" s="84" t="n"/>
      <c r="E105" s="79" t="n"/>
      <c r="F105" s="78" t="n"/>
      <c r="G105" s="85">
        <f>IF(C105="","",IF(D105="","UNDECIDED",IF(F105="","NO EVIDENCE","")))</f>
        <v/>
      </c>
    </row>
    <row r="106" ht="33.75" customHeight="1" s="41">
      <c r="A106" s="86" t="n"/>
      <c r="B106" s="86" t="n"/>
      <c r="C106" s="80" t="n"/>
      <c r="D106" s="86" t="n"/>
      <c r="E106" s="81" t="n"/>
      <c r="F106" s="80" t="n"/>
      <c r="G106" s="85">
        <f>IF(C106="","",IF(D106="","UNDECIDED",IF(F106="","NO EVIDENCE","")))</f>
        <v/>
      </c>
    </row>
    <row r="107" ht="33.75" customHeight="1" s="41">
      <c r="A107" s="84" t="n"/>
      <c r="B107" s="84" t="n"/>
      <c r="C107" s="78" t="n"/>
      <c r="D107" s="84" t="n"/>
      <c r="E107" s="79" t="n"/>
      <c r="F107" s="78" t="n"/>
      <c r="G107" s="85">
        <f>IF(C107="","",IF(D107="","UNDECIDED",IF(F107="","NO EVIDENCE","")))</f>
        <v/>
      </c>
    </row>
    <row r="108" ht="33.75" customHeight="1" s="41">
      <c r="A108" s="86" t="n"/>
      <c r="B108" s="86" t="n"/>
      <c r="C108" s="80" t="n"/>
      <c r="D108" s="86" t="n"/>
      <c r="E108" s="81" t="n"/>
      <c r="F108" s="80" t="n"/>
      <c r="G108" s="85">
        <f>IF(C108="","",IF(D108="","UNDECIDED",IF(F108="","NO EVIDENCE","")))</f>
        <v/>
      </c>
    </row>
    <row r="109" ht="33.75" customHeight="1" s="41">
      <c r="A109" s="84" t="n"/>
      <c r="B109" s="84" t="n"/>
      <c r="C109" s="78" t="n"/>
      <c r="D109" s="84" t="n"/>
      <c r="E109" s="79" t="n"/>
      <c r="F109" s="78" t="n"/>
      <c r="G109" s="85">
        <f>IF(C109="","",IF(D109="","UNDECIDED",IF(F109="","NO EVIDENCE","")))</f>
        <v/>
      </c>
    </row>
    <row r="110" ht="33.75" customHeight="1" s="41">
      <c r="A110" s="86" t="n"/>
      <c r="B110" s="86" t="n"/>
      <c r="C110" s="80" t="n"/>
      <c r="D110" s="86" t="n"/>
      <c r="E110" s="81" t="n"/>
      <c r="F110" s="80" t="n"/>
      <c r="G110" s="85">
        <f>IF(C110="","",IF(D110="","UNDECIDED",IF(F110="","NO EVIDENCE","")))</f>
        <v/>
      </c>
    </row>
    <row r="111" ht="33.75" customHeight="1" s="41">
      <c r="A111" s="84" t="n"/>
      <c r="B111" s="84" t="n"/>
      <c r="C111" s="78" t="n"/>
      <c r="D111" s="84" t="n"/>
      <c r="E111" s="79" t="n"/>
      <c r="F111" s="78" t="n"/>
      <c r="G111" s="85">
        <f>IF(C111="","",IF(D111="","UNDECIDED",IF(F111="","NO EVIDENCE","")))</f>
        <v/>
      </c>
    </row>
    <row r="112" ht="33.75" customHeight="1" s="41">
      <c r="A112" s="86" t="n"/>
      <c r="B112" s="86" t="n"/>
      <c r="C112" s="80" t="n"/>
      <c r="D112" s="86" t="n"/>
      <c r="E112" s="81" t="n"/>
      <c r="F112" s="80" t="n"/>
      <c r="G112" s="85">
        <f>IF(C112="","",IF(D112="","UNDECIDED",IF(F112="","NO EVIDENCE","")))</f>
        <v/>
      </c>
    </row>
    <row r="113" ht="33.75" customHeight="1" s="41">
      <c r="A113" s="84" t="n"/>
      <c r="B113" s="84" t="n"/>
      <c r="C113" s="78" t="n"/>
      <c r="D113" s="84" t="n"/>
      <c r="E113" s="79" t="n"/>
      <c r="F113" s="78" t="n"/>
      <c r="G113" s="85">
        <f>IF(C113="","",IF(D113="","UNDECIDED",IF(F113="","NO EVIDENCE","")))</f>
        <v/>
      </c>
    </row>
    <row r="114" ht="33.75" customHeight="1" s="41">
      <c r="A114" s="86" t="n"/>
      <c r="B114" s="86" t="n"/>
      <c r="C114" s="80" t="n"/>
      <c r="D114" s="86" t="n"/>
      <c r="E114" s="81" t="n"/>
      <c r="F114" s="80" t="n"/>
      <c r="G114" s="85">
        <f>IF(C114="","",IF(D114="","UNDECIDED",IF(F114="","NO EVIDENCE","")))</f>
        <v/>
      </c>
    </row>
    <row r="115" ht="33.75" customHeight="1" s="41">
      <c r="A115" s="84" t="n"/>
      <c r="B115" s="84" t="n"/>
      <c r="C115" s="78" t="n"/>
      <c r="D115" s="84" t="n"/>
      <c r="E115" s="79" t="n"/>
      <c r="F115" s="78" t="n"/>
      <c r="G115" s="85">
        <f>IF(C115="","",IF(D115="","UNDECIDED",IF(F115="","NO EVIDENCE","")))</f>
        <v/>
      </c>
    </row>
    <row r="116" ht="33.75" customHeight="1" s="41">
      <c r="A116" s="86" t="n"/>
      <c r="B116" s="86" t="n"/>
      <c r="C116" s="80" t="n"/>
      <c r="D116" s="86" t="n"/>
      <c r="E116" s="81" t="n"/>
      <c r="F116" s="80" t="n"/>
      <c r="G116" s="85">
        <f>IF(C116="","",IF(D116="","UNDECIDED",IF(F116="","NO EVIDENCE","")))</f>
        <v/>
      </c>
    </row>
    <row r="117" ht="33.75" customHeight="1" s="41">
      <c r="A117" s="84" t="n"/>
      <c r="B117" s="84" t="n"/>
      <c r="C117" s="78" t="n"/>
      <c r="D117" s="84" t="n"/>
      <c r="E117" s="79" t="n"/>
      <c r="F117" s="78" t="n"/>
      <c r="G117" s="85">
        <f>IF(C117="","",IF(D117="","UNDECIDED",IF(F117="","NO EVIDENCE","")))</f>
        <v/>
      </c>
    </row>
    <row r="118" ht="33.75" customHeight="1" s="41">
      <c r="A118" s="86" t="n"/>
      <c r="B118" s="86" t="n"/>
      <c r="C118" s="80" t="n"/>
      <c r="D118" s="86" t="n"/>
      <c r="E118" s="81" t="n"/>
      <c r="F118" s="80" t="n"/>
      <c r="G118" s="85">
        <f>IF(C118="","",IF(D118="","UNDECIDED",IF(F118="","NO EVIDENCE","")))</f>
        <v/>
      </c>
    </row>
    <row r="119" ht="33.75" customHeight="1" s="41">
      <c r="A119" s="84" t="n"/>
      <c r="B119" s="84" t="n"/>
      <c r="C119" s="78" t="n"/>
      <c r="D119" s="84" t="n"/>
      <c r="E119" s="79" t="n"/>
      <c r="F119" s="78" t="n"/>
      <c r="G119" s="85">
        <f>IF(C119="","",IF(D119="","UNDECIDED",IF(F119="","NO EVIDENCE","")))</f>
        <v/>
      </c>
    </row>
    <row r="120" ht="33.75" customHeight="1" s="41">
      <c r="A120" s="86" t="n"/>
      <c r="B120" s="86" t="n"/>
      <c r="C120" s="80" t="n"/>
      <c r="D120" s="86" t="n"/>
      <c r="E120" s="81" t="n"/>
      <c r="F120" s="80" t="n"/>
      <c r="G120" s="85">
        <f>IF(C120="","",IF(D120="","UNDECIDED",IF(F120="","NO EVIDENCE","")))</f>
        <v/>
      </c>
    </row>
    <row r="121" ht="33.75" customHeight="1" s="41">
      <c r="A121" s="84" t="n"/>
      <c r="B121" s="84" t="n"/>
      <c r="C121" s="78" t="n"/>
      <c r="D121" s="84" t="n"/>
      <c r="E121" s="79" t="n"/>
      <c r="F121" s="78" t="n"/>
      <c r="G121" s="85">
        <f>IF(C121="","",IF(D121="","UNDECIDED",IF(F121="","NO EVIDENCE","")))</f>
        <v/>
      </c>
    </row>
    <row r="122" ht="33.75" customHeight="1" s="41">
      <c r="A122" s="86" t="n"/>
      <c r="B122" s="86" t="n"/>
      <c r="C122" s="80" t="n"/>
      <c r="D122" s="86" t="n"/>
      <c r="E122" s="81" t="n"/>
      <c r="F122" s="80" t="n"/>
      <c r="G122" s="85">
        <f>IF(C122="","",IF(D122="","UNDECIDED",IF(F122="","NO EVIDENCE","")))</f>
        <v/>
      </c>
    </row>
    <row r="123" ht="33.75" customHeight="1" s="41">
      <c r="A123" s="84" t="n"/>
      <c r="B123" s="84" t="n"/>
      <c r="C123" s="78" t="n"/>
      <c r="D123" s="84" t="n"/>
      <c r="E123" s="79" t="n"/>
      <c r="F123" s="78" t="n"/>
      <c r="G123" s="85">
        <f>IF(C123="","",IF(D123="","UNDECIDED",IF(F123="","NO EVIDENCE","")))</f>
        <v/>
      </c>
    </row>
    <row r="124" ht="33.75" customHeight="1" s="41">
      <c r="A124" s="86" t="n"/>
      <c r="B124" s="86" t="n"/>
      <c r="C124" s="80" t="n"/>
      <c r="D124" s="86" t="n"/>
      <c r="E124" s="81" t="n"/>
      <c r="F124" s="80" t="n"/>
      <c r="G124" s="85">
        <f>IF(C124="","",IF(D124="","UNDECIDED",IF(F124="","NO EVIDENCE","")))</f>
        <v/>
      </c>
    </row>
    <row r="125" ht="33.75" customHeight="1" s="41">
      <c r="A125" s="84" t="n"/>
      <c r="B125" s="84" t="n"/>
      <c r="C125" s="78" t="n"/>
      <c r="D125" s="84" t="n"/>
      <c r="E125" s="79" t="n"/>
      <c r="F125" s="78" t="n"/>
      <c r="G125" s="85">
        <f>IF(C125="","",IF(D125="","UNDECIDED",IF(F125="","NO EVIDENCE","")))</f>
        <v/>
      </c>
    </row>
    <row r="126" ht="33.75" customHeight="1" s="41">
      <c r="A126" s="86" t="n"/>
      <c r="B126" s="86" t="n"/>
      <c r="C126" s="80" t="n"/>
      <c r="D126" s="86" t="n"/>
      <c r="E126" s="81" t="n"/>
      <c r="F126" s="80" t="n"/>
      <c r="G126" s="85">
        <f>IF(C126="","",IF(D126="","UNDECIDED",IF(F126="","NO EVIDENCE","")))</f>
        <v/>
      </c>
    </row>
    <row r="127" ht="33.75" customHeight="1" s="41">
      <c r="A127" s="84" t="n"/>
      <c r="B127" s="84" t="n"/>
      <c r="C127" s="78" t="n"/>
      <c r="D127" s="84" t="n"/>
      <c r="E127" s="79" t="n"/>
      <c r="F127" s="78" t="n"/>
      <c r="G127" s="85">
        <f>IF(C127="","",IF(D127="","UNDECIDED",IF(F127="","NO EVIDENCE","")))</f>
        <v/>
      </c>
    </row>
    <row r="128" ht="33.75" customHeight="1" s="41">
      <c r="A128" s="86" t="n"/>
      <c r="B128" s="86" t="n"/>
      <c r="C128" s="80" t="n"/>
      <c r="D128" s="86" t="n"/>
      <c r="E128" s="81" t="n"/>
      <c r="F128" s="80" t="n"/>
      <c r="G128" s="85">
        <f>IF(C128="","",IF(D128="","UNDECIDED",IF(F128="","NO EVIDENCE","")))</f>
        <v/>
      </c>
    </row>
    <row r="129" ht="33.75" customHeight="1" s="41">
      <c r="A129" s="84" t="n"/>
      <c r="B129" s="84" t="n"/>
      <c r="C129" s="78" t="n"/>
      <c r="D129" s="84" t="n"/>
      <c r="E129" s="79" t="n"/>
      <c r="F129" s="78" t="n"/>
      <c r="G129" s="85">
        <f>IF(C129="","",IF(D129="","UNDECIDED",IF(F129="","NO EVIDENCE","")))</f>
        <v/>
      </c>
    </row>
    <row r="130" ht="33.75" customHeight="1" s="41">
      <c r="A130" s="86" t="n"/>
      <c r="B130" s="86" t="n"/>
      <c r="C130" s="80" t="n"/>
      <c r="D130" s="86" t="n"/>
      <c r="E130" s="81" t="n"/>
      <c r="F130" s="80" t="n"/>
      <c r="G130" s="85">
        <f>IF(C130="","",IF(D130="","UNDECIDED",IF(F130="","NO EVIDENCE","")))</f>
        <v/>
      </c>
    </row>
    <row r="131" ht="33.75" customHeight="1" s="41">
      <c r="A131" s="84" t="n"/>
      <c r="B131" s="84" t="n"/>
      <c r="C131" s="78" t="n"/>
      <c r="D131" s="84" t="n"/>
      <c r="E131" s="79" t="n"/>
      <c r="F131" s="78" t="n"/>
      <c r="G131" s="85">
        <f>IF(C131="","",IF(D131="","UNDECIDED",IF(F131="","NO EVIDENCE","")))</f>
        <v/>
      </c>
    </row>
    <row r="132" ht="33.75" customHeight="1" s="41">
      <c r="A132" s="86" t="n"/>
      <c r="B132" s="86" t="n"/>
      <c r="C132" s="80" t="n"/>
      <c r="D132" s="86" t="n"/>
      <c r="E132" s="81" t="n"/>
      <c r="F132" s="80" t="n"/>
      <c r="G132" s="85">
        <f>IF(C132="","",IF(D132="","UNDECIDED",IF(F132="","NO EVIDENCE","")))</f>
        <v/>
      </c>
    </row>
    <row r="133" ht="33.75" customHeight="1" s="41">
      <c r="A133" s="84" t="n"/>
      <c r="B133" s="84" t="n"/>
      <c r="C133" s="78" t="n"/>
      <c r="D133" s="84" t="n"/>
      <c r="E133" s="79" t="n"/>
      <c r="F133" s="78" t="n"/>
      <c r="G133" s="85">
        <f>IF(C133="","",IF(D133="","UNDECIDED",IF(F133="","NO EVIDENCE","")))</f>
        <v/>
      </c>
    </row>
    <row r="134" ht="33.75" customHeight="1" s="41">
      <c r="A134" s="86" t="n"/>
      <c r="B134" s="86" t="n"/>
      <c r="C134" s="80" t="n"/>
      <c r="D134" s="86" t="n"/>
      <c r="E134" s="81" t="n"/>
      <c r="F134" s="80" t="n"/>
      <c r="G134" s="85">
        <f>IF(C134="","",IF(D134="","UNDECIDED",IF(F134="","NO EVIDENCE","")))</f>
        <v/>
      </c>
    </row>
    <row r="135" ht="33.75" customHeight="1" s="41">
      <c r="A135" s="84" t="n"/>
      <c r="B135" s="84" t="n"/>
      <c r="C135" s="78" t="n"/>
      <c r="D135" s="84" t="n"/>
      <c r="E135" s="79" t="n"/>
      <c r="F135" s="78" t="n"/>
      <c r="G135" s="85">
        <f>IF(C135="","",IF(D135="","UNDECIDED",IF(F135="","NO EVIDENCE","")))</f>
        <v/>
      </c>
    </row>
    <row r="136" ht="33.75" customHeight="1" s="41">
      <c r="A136" s="86" t="n"/>
      <c r="B136" s="86" t="n"/>
      <c r="C136" s="80" t="n"/>
      <c r="D136" s="86" t="n"/>
      <c r="E136" s="81" t="n"/>
      <c r="F136" s="80" t="n"/>
      <c r="G136" s="85">
        <f>IF(C136="","",IF(D136="","UNDECIDED",IF(F136="","NO EVIDENCE","")))</f>
        <v/>
      </c>
    </row>
    <row r="137" ht="33.75" customHeight="1" s="41">
      <c r="A137" s="84" t="n"/>
      <c r="B137" s="84" t="n"/>
      <c r="C137" s="78" t="n"/>
      <c r="D137" s="84" t="n"/>
      <c r="E137" s="79" t="n"/>
      <c r="F137" s="78" t="n"/>
      <c r="G137" s="85">
        <f>IF(C137="","",IF(D137="","UNDECIDED",IF(F137="","NO EVIDENCE","")))</f>
        <v/>
      </c>
    </row>
    <row r="138" ht="33.75" customHeight="1" s="41">
      <c r="A138" s="86" t="n"/>
      <c r="B138" s="86" t="n"/>
      <c r="C138" s="80" t="n"/>
      <c r="D138" s="86" t="n"/>
      <c r="E138" s="81" t="n"/>
      <c r="F138" s="80" t="n"/>
      <c r="G138" s="85">
        <f>IF(C138="","",IF(D138="","UNDECIDED",IF(F138="","NO EVIDENCE","")))</f>
        <v/>
      </c>
    </row>
    <row r="139" ht="33.75" customHeight="1" s="41">
      <c r="A139" s="84" t="n"/>
      <c r="B139" s="84" t="n"/>
      <c r="C139" s="78" t="n"/>
      <c r="D139" s="84" t="n"/>
      <c r="E139" s="79" t="n"/>
      <c r="F139" s="78" t="n"/>
      <c r="G139" s="85">
        <f>IF(C139="","",IF(D139="","UNDECIDED",IF(F139="","NO EVIDENCE","")))</f>
        <v/>
      </c>
    </row>
    <row r="140" ht="33.75" customHeight="1" s="41">
      <c r="A140" s="86" t="n"/>
      <c r="B140" s="86" t="n"/>
      <c r="C140" s="80" t="n"/>
      <c r="D140" s="86" t="n"/>
      <c r="E140" s="81" t="n"/>
      <c r="F140" s="80" t="n"/>
      <c r="G140" s="85">
        <f>IF(C140="","",IF(D140="","UNDECIDED",IF(F140="","NO EVIDENCE","")))</f>
        <v/>
      </c>
    </row>
    <row r="141" ht="33.75" customHeight="1" s="41">
      <c r="A141" s="84" t="n"/>
      <c r="B141" s="84" t="n"/>
      <c r="C141" s="78" t="n"/>
      <c r="D141" s="84" t="n"/>
      <c r="E141" s="79" t="n"/>
      <c r="F141" s="78" t="n"/>
      <c r="G141" s="85">
        <f>IF(C141="","",IF(D141="","UNDECIDED",IF(F141="","NO EVIDENCE","")))</f>
        <v/>
      </c>
    </row>
    <row r="142" ht="33.75" customHeight="1" s="41">
      <c r="A142" s="86" t="n"/>
      <c r="B142" s="86" t="n"/>
      <c r="C142" s="80" t="n"/>
      <c r="D142" s="86" t="n"/>
      <c r="E142" s="81" t="n"/>
      <c r="F142" s="80" t="n"/>
      <c r="G142" s="85">
        <f>IF(C142="","",IF(D142="","UNDECIDED",IF(F142="","NO EVIDENCE","")))</f>
        <v/>
      </c>
    </row>
    <row r="143" ht="33.75" customHeight="1" s="41">
      <c r="A143" s="84" t="n"/>
      <c r="B143" s="84" t="n"/>
      <c r="C143" s="78" t="n"/>
      <c r="D143" s="84" t="n"/>
      <c r="E143" s="79" t="n"/>
      <c r="F143" s="78" t="n"/>
      <c r="G143" s="85">
        <f>IF(C143="","",IF(D143="","UNDECIDED",IF(F143="","NO EVIDENCE","")))</f>
        <v/>
      </c>
    </row>
    <row r="144" ht="33.75" customHeight="1" s="41">
      <c r="A144" s="86" t="n"/>
      <c r="B144" s="86" t="n"/>
      <c r="C144" s="80" t="n"/>
      <c r="D144" s="86" t="n"/>
      <c r="E144" s="81" t="n"/>
      <c r="F144" s="80" t="n"/>
      <c r="G144" s="85">
        <f>IF(C144="","",IF(D144="","UNDECIDED",IF(F144="","NO EVIDENCE","")))</f>
        <v/>
      </c>
    </row>
    <row r="145" ht="33.75" customHeight="1" s="41">
      <c r="A145" s="84" t="n"/>
      <c r="B145" s="84" t="n"/>
      <c r="C145" s="78" t="n"/>
      <c r="D145" s="84" t="n"/>
      <c r="E145" s="79" t="n"/>
      <c r="F145" s="78" t="n"/>
      <c r="G145" s="85">
        <f>IF(C145="","",IF(D145="","UNDECIDED",IF(F145="","NO EVIDENCE","")))</f>
        <v/>
      </c>
    </row>
    <row r="146" ht="33.75" customHeight="1" s="41">
      <c r="A146" s="86" t="n"/>
      <c r="B146" s="86" t="n"/>
      <c r="C146" s="80" t="n"/>
      <c r="D146" s="86" t="n"/>
      <c r="E146" s="81" t="n"/>
      <c r="F146" s="80" t="n"/>
      <c r="G146" s="85">
        <f>IF(C146="","",IF(D146="","UNDECIDED",IF(F146="","NO EVIDENCE","")))</f>
        <v/>
      </c>
    </row>
    <row r="147" ht="33.75" customHeight="1" s="41">
      <c r="A147" s="84" t="n"/>
      <c r="B147" s="84" t="n"/>
      <c r="C147" s="78" t="n"/>
      <c r="D147" s="84" t="n"/>
      <c r="E147" s="79" t="n"/>
      <c r="F147" s="78" t="n"/>
      <c r="G147" s="85">
        <f>IF(C147="","",IF(D147="","UNDECIDED",IF(F147="","NO EVIDENCE","")))</f>
        <v/>
      </c>
    </row>
    <row r="148" ht="33.75" customHeight="1" s="41">
      <c r="A148" s="86" t="n"/>
      <c r="B148" s="86" t="n"/>
      <c r="C148" s="80" t="n"/>
      <c r="D148" s="86" t="n"/>
      <c r="E148" s="81" t="n"/>
      <c r="F148" s="80" t="n"/>
      <c r="G148" s="85">
        <f>IF(C148="","",IF(D148="","UNDECIDED",IF(F148="","NO EVIDENCE","")))</f>
        <v/>
      </c>
    </row>
    <row r="149" ht="33.75" customHeight="1" s="41">
      <c r="A149" s="84" t="n"/>
      <c r="B149" s="84" t="n"/>
      <c r="C149" s="78" t="n"/>
      <c r="D149" s="84" t="n"/>
      <c r="E149" s="79" t="n"/>
      <c r="F149" s="78" t="n"/>
      <c r="G149" s="85">
        <f>IF(C149="","",IF(D149="","UNDECIDED",IF(F149="","NO EVIDENCE","")))</f>
        <v/>
      </c>
    </row>
    <row r="150" ht="33.75" customHeight="1" s="41">
      <c r="A150" s="86" t="n"/>
      <c r="B150" s="86" t="n"/>
      <c r="C150" s="80" t="n"/>
      <c r="D150" s="86" t="n"/>
      <c r="E150" s="81" t="n"/>
      <c r="F150" s="80" t="n"/>
      <c r="G150" s="85">
        <f>IF(C150="","",IF(D150="","UNDECIDED",IF(F150="","NO EVIDENCE","")))</f>
        <v/>
      </c>
    </row>
    <row r="151" ht="33.75" customHeight="1" s="41">
      <c r="A151" s="84" t="n"/>
      <c r="B151" s="84" t="n"/>
      <c r="C151" s="78" t="n"/>
      <c r="D151" s="84" t="n"/>
      <c r="E151" s="79" t="n"/>
      <c r="F151" s="78" t="n"/>
      <c r="G151" s="85">
        <f>IF(C151="","",IF(D151="","UNDECIDED",IF(F151="","NO EVIDENCE","")))</f>
        <v/>
      </c>
    </row>
    <row r="152" ht="33.75" customHeight="1" s="41">
      <c r="A152" s="86" t="n"/>
      <c r="B152" s="86" t="n"/>
      <c r="C152" s="80" t="n"/>
      <c r="D152" s="86" t="n"/>
      <c r="E152" s="81" t="n"/>
      <c r="F152" s="80" t="n"/>
      <c r="G152" s="85">
        <f>IF(C152="","",IF(D152="","UNDECIDED",IF(F152="","NO EVIDENCE","")))</f>
        <v/>
      </c>
    </row>
    <row r="153" ht="33.75" customHeight="1" s="41">
      <c r="A153" s="84" t="n"/>
      <c r="B153" s="84" t="n"/>
      <c r="C153" s="78" t="n"/>
      <c r="D153" s="84" t="n"/>
      <c r="E153" s="79" t="n"/>
      <c r="F153" s="78" t="n"/>
      <c r="G153" s="85">
        <f>IF(C153="","",IF(D153="","UNDECIDED",IF(F153="","NO EVIDENCE","")))</f>
        <v/>
      </c>
    </row>
    <row r="154" ht="33.75" customHeight="1" s="41">
      <c r="A154" s="86" t="n"/>
      <c r="B154" s="86" t="n"/>
      <c r="C154" s="80" t="n"/>
      <c r="D154" s="86" t="n"/>
      <c r="E154" s="81" t="n"/>
      <c r="F154" s="80" t="n"/>
      <c r="G154" s="85">
        <f>IF(C154="","",IF(D154="","UNDECIDED",IF(F154="","NO EVIDENCE","")))</f>
        <v/>
      </c>
    </row>
    <row r="155" ht="33.75" customHeight="1" s="41">
      <c r="A155" s="84" t="n"/>
      <c r="B155" s="84" t="n"/>
      <c r="C155" s="78" t="n"/>
      <c r="D155" s="84" t="n"/>
      <c r="E155" s="79" t="n"/>
      <c r="F155" s="78" t="n"/>
      <c r="G155" s="85">
        <f>IF(C155="","",IF(D155="","UNDECIDED",IF(F155="","NO EVIDENCE","")))</f>
        <v/>
      </c>
    </row>
    <row r="156" ht="33.75" customHeight="1" s="41">
      <c r="A156" s="86" t="n"/>
      <c r="B156" s="86" t="n"/>
      <c r="C156" s="80" t="n"/>
      <c r="D156" s="86" t="n"/>
      <c r="E156" s="81" t="n"/>
      <c r="F156" s="80" t="n"/>
      <c r="G156" s="85">
        <f>IF(C156="","",IF(D156="","UNDECIDED",IF(F156="","NO EVIDENCE","")))</f>
        <v/>
      </c>
    </row>
    <row r="157" ht="33.75" customHeight="1" s="41">
      <c r="A157" s="84" t="n"/>
      <c r="B157" s="84" t="n"/>
      <c r="C157" s="78" t="n"/>
      <c r="D157" s="84" t="n"/>
      <c r="E157" s="79" t="n"/>
      <c r="F157" s="78" t="n"/>
      <c r="G157" s="85">
        <f>IF(C157="","",IF(D157="","UNDECIDED",IF(F157="","NO EVIDENCE","")))</f>
        <v/>
      </c>
    </row>
    <row r="158" ht="33.75" customHeight="1" s="41">
      <c r="A158" s="86" t="n"/>
      <c r="B158" s="86" t="n"/>
      <c r="C158" s="80" t="n"/>
      <c r="D158" s="86" t="n"/>
      <c r="E158" s="81" t="n"/>
      <c r="F158" s="80" t="n"/>
      <c r="G158" s="85">
        <f>IF(C158="","",IF(D158="","UNDECIDED",IF(F158="","NO EVIDENCE","")))</f>
        <v/>
      </c>
    </row>
    <row r="159" ht="33.75" customHeight="1" s="41">
      <c r="A159" s="84" t="n"/>
      <c r="B159" s="84" t="n"/>
      <c r="C159" s="78" t="n"/>
      <c r="D159" s="84" t="n"/>
      <c r="E159" s="79" t="n"/>
      <c r="F159" s="78" t="n"/>
      <c r="G159" s="85">
        <f>IF(C159="","",IF(D159="","UNDECIDED",IF(F159="","NO EVIDENCE","")))</f>
        <v/>
      </c>
    </row>
    <row r="160" ht="33.75" customHeight="1" s="41">
      <c r="A160" s="86" t="n"/>
      <c r="B160" s="86" t="n"/>
      <c r="C160" s="80" t="n"/>
      <c r="D160" s="86" t="n"/>
      <c r="E160" s="81" t="n"/>
      <c r="F160" s="80" t="n"/>
      <c r="G160" s="85">
        <f>IF(C160="","",IF(D160="","UNDECIDED",IF(F160="","NO EVIDENCE","")))</f>
        <v/>
      </c>
    </row>
    <row r="161" ht="33.75" customHeight="1" s="41">
      <c r="A161" s="84" t="n"/>
      <c r="B161" s="84" t="n"/>
      <c r="C161" s="78" t="n"/>
      <c r="D161" s="84" t="n"/>
      <c r="E161" s="79" t="n"/>
      <c r="F161" s="78" t="n"/>
      <c r="G161" s="85">
        <f>IF(C161="","",IF(D161="","UNDECIDED",IF(F161="","NO EVIDENCE","")))</f>
        <v/>
      </c>
    </row>
    <row r="162" ht="33.75" customHeight="1" s="41">
      <c r="A162" s="86" t="n"/>
      <c r="B162" s="86" t="n"/>
      <c r="C162" s="80" t="n"/>
      <c r="D162" s="86" t="n"/>
      <c r="E162" s="81" t="n"/>
      <c r="F162" s="80" t="n"/>
      <c r="G162" s="85">
        <f>IF(C162="","",IF(D162="","UNDECIDED",IF(F162="","NO EVIDENCE","")))</f>
        <v/>
      </c>
    </row>
    <row r="163" ht="33.75" customHeight="1" s="41">
      <c r="A163" s="84" t="n"/>
      <c r="B163" s="84" t="n"/>
      <c r="C163" s="78" t="n"/>
      <c r="D163" s="84" t="n"/>
      <c r="E163" s="79" t="n"/>
      <c r="F163" s="78" t="n"/>
      <c r="G163" s="85">
        <f>IF(C163="","",IF(D163="","UNDECIDED",IF(F163="","NO EVIDENCE","")))</f>
        <v/>
      </c>
    </row>
    <row r="164" ht="33.75" customHeight="1" s="41">
      <c r="A164" s="86" t="n"/>
      <c r="B164" s="86" t="n"/>
      <c r="C164" s="80" t="n"/>
      <c r="D164" s="86" t="n"/>
      <c r="E164" s="81" t="n"/>
      <c r="F164" s="80" t="n"/>
      <c r="G164" s="85">
        <f>IF(C164="","",IF(D164="","UNDECIDED",IF(F164="","NO EVIDENCE","")))</f>
        <v/>
      </c>
    </row>
    <row r="165" ht="33.75" customHeight="1" s="41">
      <c r="A165" s="84" t="n"/>
      <c r="B165" s="84" t="n"/>
      <c r="C165" s="78" t="n"/>
      <c r="D165" s="84" t="n"/>
      <c r="E165" s="79" t="n"/>
      <c r="F165" s="78" t="n"/>
      <c r="G165" s="85">
        <f>IF(C165="","",IF(D165="","UNDECIDED",IF(F165="","NO EVIDENCE","")))</f>
        <v/>
      </c>
    </row>
    <row r="166" ht="33.75" customHeight="1" s="41">
      <c r="A166" s="86" t="n"/>
      <c r="B166" s="86" t="n"/>
      <c r="C166" s="80" t="n"/>
      <c r="D166" s="86" t="n"/>
      <c r="E166" s="81" t="n"/>
      <c r="F166" s="80" t="n"/>
      <c r="G166" s="85">
        <f>IF(C166="","",IF(D166="","UNDECIDED",IF(F166="","NO EVIDENCE","")))</f>
        <v/>
      </c>
    </row>
    <row r="167" ht="33.75" customHeight="1" s="41">
      <c r="A167" s="84" t="n"/>
      <c r="B167" s="84" t="n"/>
      <c r="C167" s="78" t="n"/>
      <c r="D167" s="84" t="n"/>
      <c r="E167" s="79" t="n"/>
      <c r="F167" s="78" t="n"/>
      <c r="G167" s="85">
        <f>IF(C167="","",IF(D167="","UNDECIDED",IF(F167="","NO EVIDENCE","")))</f>
        <v/>
      </c>
    </row>
    <row r="168" ht="33.75" customHeight="1" s="41">
      <c r="A168" s="86" t="n"/>
      <c r="B168" s="86" t="n"/>
      <c r="C168" s="80" t="n"/>
      <c r="D168" s="86" t="n"/>
      <c r="E168" s="81" t="n"/>
      <c r="F168" s="80" t="n"/>
      <c r="G168" s="85">
        <f>IF(C168="","",IF(D168="","UNDECIDED",IF(F168="","NO EVIDENCE","")))</f>
        <v/>
      </c>
    </row>
    <row r="169" ht="33.75" customHeight="1" s="41">
      <c r="A169" s="84" t="n"/>
      <c r="B169" s="84" t="n"/>
      <c r="C169" s="78" t="n"/>
      <c r="D169" s="84" t="n"/>
      <c r="E169" s="79" t="n"/>
      <c r="F169" s="78" t="n"/>
      <c r="G169" s="85">
        <f>IF(C169="","",IF(D169="","UNDECIDED",IF(F169="","NO EVIDENCE","")))</f>
        <v/>
      </c>
    </row>
    <row r="170" ht="33.75" customHeight="1" s="41">
      <c r="A170" s="86" t="n"/>
      <c r="B170" s="86" t="n"/>
      <c r="C170" s="80" t="n"/>
      <c r="D170" s="86" t="n"/>
      <c r="E170" s="81" t="n"/>
      <c r="F170" s="80" t="n"/>
      <c r="G170" s="85">
        <f>IF(C170="","",IF(D170="","UNDECIDED",IF(F170="","NO EVIDENCE","")))</f>
        <v/>
      </c>
    </row>
    <row r="171" ht="33.75" customHeight="1" s="41">
      <c r="A171" s="84" t="n"/>
      <c r="B171" s="84" t="n"/>
      <c r="C171" s="78" t="n"/>
      <c r="D171" s="84" t="n"/>
      <c r="E171" s="79" t="n"/>
      <c r="F171" s="78" t="n"/>
      <c r="G171" s="85">
        <f>IF(C171="","",IF(D171="","UNDECIDED",IF(F171="","NO EVIDENCE","")))</f>
        <v/>
      </c>
    </row>
    <row r="172" ht="33.75" customHeight="1" s="41">
      <c r="A172" s="86" t="n"/>
      <c r="B172" s="86" t="n"/>
      <c r="C172" s="80" t="n"/>
      <c r="D172" s="86" t="n"/>
      <c r="E172" s="81" t="n"/>
      <c r="F172" s="80" t="n"/>
      <c r="G172" s="85">
        <f>IF(C172="","",IF(D172="","UNDECIDED",IF(F172="","NO EVIDENCE","")))</f>
        <v/>
      </c>
    </row>
    <row r="173" ht="33.75" customHeight="1" s="41">
      <c r="A173" s="84" t="n"/>
      <c r="B173" s="84" t="n"/>
      <c r="C173" s="78" t="n"/>
      <c r="D173" s="84" t="n"/>
      <c r="E173" s="79" t="n"/>
      <c r="F173" s="78" t="n"/>
      <c r="G173" s="85">
        <f>IF(C173="","",IF(D173="","UNDECIDED",IF(F173="","NO EVIDENCE","")))</f>
        <v/>
      </c>
    </row>
    <row r="174" ht="33.75" customHeight="1" s="41">
      <c r="A174" s="86" t="n"/>
      <c r="B174" s="86" t="n"/>
      <c r="C174" s="80" t="n"/>
      <c r="D174" s="86" t="n"/>
      <c r="E174" s="81" t="n"/>
      <c r="F174" s="80" t="n"/>
      <c r="G174" s="85">
        <f>IF(C174="","",IF(D174="","UNDECIDED",IF(F174="","NO EVIDENCE","")))</f>
        <v/>
      </c>
    </row>
    <row r="175" ht="33.75" customHeight="1" s="41">
      <c r="A175" s="84" t="n"/>
      <c r="B175" s="84" t="n"/>
      <c r="C175" s="78" t="n"/>
      <c r="D175" s="84" t="n"/>
      <c r="E175" s="79" t="n"/>
      <c r="F175" s="78" t="n"/>
      <c r="G175" s="85">
        <f>IF(C175="","",IF(D175="","UNDECIDED",IF(F175="","NO EVIDENCE","")))</f>
        <v/>
      </c>
    </row>
    <row r="176" ht="33.75" customHeight="1" s="41">
      <c r="A176" s="86" t="n"/>
      <c r="B176" s="86" t="n"/>
      <c r="C176" s="80" t="n"/>
      <c r="D176" s="86" t="n"/>
      <c r="E176" s="81" t="n"/>
      <c r="F176" s="80" t="n"/>
      <c r="G176" s="85">
        <f>IF(C176="","",IF(D176="","UNDECIDED",IF(F176="","NO EVIDENCE","")))</f>
        <v/>
      </c>
    </row>
    <row r="177" ht="33.75" customHeight="1" s="41">
      <c r="A177" s="84" t="n"/>
      <c r="B177" s="84" t="n"/>
      <c r="C177" s="78" t="n"/>
      <c r="D177" s="84" t="n"/>
      <c r="E177" s="79" t="n"/>
      <c r="F177" s="78" t="n"/>
      <c r="G177" s="85">
        <f>IF(C177="","",IF(D177="","UNDECIDED",IF(F177="","NO EVIDENCE","")))</f>
        <v/>
      </c>
    </row>
    <row r="178" ht="33.75" customHeight="1" s="41">
      <c r="A178" s="86" t="n"/>
      <c r="B178" s="86" t="n"/>
      <c r="C178" s="80" t="n"/>
      <c r="D178" s="86" t="n"/>
      <c r="E178" s="81" t="n"/>
      <c r="F178" s="80" t="n"/>
      <c r="G178" s="85">
        <f>IF(C178="","",IF(D178="","UNDECIDED",IF(F178="","NO EVIDENCE","")))</f>
        <v/>
      </c>
    </row>
    <row r="179" ht="33.75" customHeight="1" s="41">
      <c r="A179" s="84" t="n"/>
      <c r="B179" s="84" t="n"/>
      <c r="C179" s="78" t="n"/>
      <c r="D179" s="84" t="n"/>
      <c r="E179" s="79" t="n"/>
      <c r="F179" s="78" t="n"/>
      <c r="G179" s="85">
        <f>IF(C179="","",IF(D179="","UNDECIDED",IF(F179="","NO EVIDENCE","")))</f>
        <v/>
      </c>
    </row>
    <row r="180" ht="33.75" customHeight="1" s="41">
      <c r="A180" s="86" t="n"/>
      <c r="B180" s="86" t="n"/>
      <c r="C180" s="80" t="n"/>
      <c r="D180" s="86" t="n"/>
      <c r="E180" s="81" t="n"/>
      <c r="F180" s="80" t="n"/>
      <c r="G180" s="85">
        <f>IF(C180="","",IF(D180="","UNDECIDED",IF(F180="","NO EVIDENCE","")))</f>
        <v/>
      </c>
    </row>
    <row r="181" ht="33.75" customHeight="1" s="41">
      <c r="A181" s="84" t="n"/>
      <c r="B181" s="84" t="n"/>
      <c r="C181" s="78" t="n"/>
      <c r="D181" s="84" t="n"/>
      <c r="E181" s="79" t="n"/>
      <c r="F181" s="78" t="n"/>
      <c r="G181" s="85">
        <f>IF(C181="","",IF(D181="","UNDECIDED",IF(F181="","NO EVIDENCE","")))</f>
        <v/>
      </c>
    </row>
    <row r="182" ht="33.75" customHeight="1" s="41">
      <c r="A182" s="86" t="n"/>
      <c r="B182" s="86" t="n"/>
      <c r="C182" s="80" t="n"/>
      <c r="D182" s="86" t="n"/>
      <c r="E182" s="81" t="n"/>
      <c r="F182" s="80" t="n"/>
      <c r="G182" s="85">
        <f>IF(C182="","",IF(D182="","UNDECIDED",IF(F182="","NO EVIDENCE","")))</f>
        <v/>
      </c>
    </row>
    <row r="183" ht="33.75" customHeight="1" s="41">
      <c r="A183" s="84" t="n"/>
      <c r="B183" s="84" t="n"/>
      <c r="C183" s="78" t="n"/>
      <c r="D183" s="84" t="n"/>
      <c r="E183" s="79" t="n"/>
      <c r="F183" s="78" t="n"/>
      <c r="G183" s="85">
        <f>IF(C183="","",IF(D183="","UNDECIDED",IF(F183="","NO EVIDENCE","")))</f>
        <v/>
      </c>
    </row>
    <row r="184" ht="33.75" customHeight="1" s="41">
      <c r="A184" s="86" t="n"/>
      <c r="B184" s="86" t="n"/>
      <c r="C184" s="80" t="n"/>
      <c r="D184" s="86" t="n"/>
      <c r="E184" s="81" t="n"/>
      <c r="F184" s="80" t="n"/>
      <c r="G184" s="85">
        <f>IF(C184="","",IF(D184="","UNDECIDED",IF(F184="","NO EVIDENCE","")))</f>
        <v/>
      </c>
    </row>
    <row r="185" ht="33.75" customHeight="1" s="41">
      <c r="A185" s="84" t="n"/>
      <c r="B185" s="84" t="n"/>
      <c r="C185" s="78" t="n"/>
      <c r="D185" s="84" t="n"/>
      <c r="E185" s="79" t="n"/>
      <c r="F185" s="78" t="n"/>
      <c r="G185" s="85">
        <f>IF(C185="","",IF(D185="","UNDECIDED",IF(F185="","NO EVIDENCE","")))</f>
        <v/>
      </c>
    </row>
    <row r="186" ht="33.75" customHeight="1" s="41">
      <c r="A186" s="86" t="n"/>
      <c r="B186" s="86" t="n"/>
      <c r="C186" s="80" t="n"/>
      <c r="D186" s="86" t="n"/>
      <c r="E186" s="81" t="n"/>
      <c r="F186" s="80" t="n"/>
      <c r="G186" s="85">
        <f>IF(C186="","",IF(D186="","UNDECIDED",IF(F186="","NO EVIDENCE","")))</f>
        <v/>
      </c>
    </row>
    <row r="187" ht="33.75" customHeight="1" s="41">
      <c r="A187" s="84" t="n"/>
      <c r="B187" s="84" t="n"/>
      <c r="C187" s="78" t="n"/>
      <c r="D187" s="84" t="n"/>
      <c r="E187" s="79" t="n"/>
      <c r="F187" s="78" t="n"/>
      <c r="G187" s="85">
        <f>IF(C187="","",IF(D187="","UNDECIDED",IF(F187="","NO EVIDENCE","")))</f>
        <v/>
      </c>
    </row>
    <row r="188" ht="33.75" customHeight="1" s="41">
      <c r="A188" s="86" t="n"/>
      <c r="B188" s="86" t="n"/>
      <c r="C188" s="80" t="n"/>
      <c r="D188" s="86" t="n"/>
      <c r="E188" s="81" t="n"/>
      <c r="F188" s="80" t="n"/>
      <c r="G188" s="85">
        <f>IF(C188="","",IF(D188="","UNDECIDED",IF(F188="","NO EVIDENCE","")))</f>
        <v/>
      </c>
    </row>
    <row r="189" ht="33.75" customHeight="1" s="41">
      <c r="A189" s="84" t="n"/>
      <c r="B189" s="84" t="n"/>
      <c r="C189" s="78" t="n"/>
      <c r="D189" s="84" t="n"/>
      <c r="E189" s="79" t="n"/>
      <c r="F189" s="78" t="n"/>
      <c r="G189" s="85">
        <f>IF(C189="","",IF(D189="","UNDECIDED",IF(F189="","NO EVIDENCE","")))</f>
        <v/>
      </c>
    </row>
    <row r="190" ht="33.75" customHeight="1" s="41">
      <c r="A190" s="86" t="n"/>
      <c r="B190" s="86" t="n"/>
      <c r="C190" s="80" t="n"/>
      <c r="D190" s="86" t="n"/>
      <c r="E190" s="81" t="n"/>
      <c r="F190" s="80" t="n"/>
      <c r="G190" s="85">
        <f>IF(C190="","",IF(D190="","UNDECIDED",IF(F190="","NO EVIDENCE","")))</f>
        <v/>
      </c>
    </row>
    <row r="191" ht="33.75" customHeight="1" s="41">
      <c r="A191" s="84" t="n"/>
      <c r="B191" s="84" t="n"/>
      <c r="C191" s="78" t="n"/>
      <c r="D191" s="84" t="n"/>
      <c r="E191" s="79" t="n"/>
      <c r="F191" s="78" t="n"/>
      <c r="G191" s="85">
        <f>IF(C191="","",IF(D191="","UNDECIDED",IF(F191="","NO EVIDENCE","")))</f>
        <v/>
      </c>
    </row>
    <row r="192" ht="33.75" customHeight="1" s="41">
      <c r="A192" s="86" t="n"/>
      <c r="B192" s="86" t="n"/>
      <c r="C192" s="80" t="n"/>
      <c r="D192" s="86" t="n"/>
      <c r="E192" s="81" t="n"/>
      <c r="F192" s="80" t="n"/>
      <c r="G192" s="85">
        <f>IF(C192="","",IF(D192="","UNDECIDED",IF(F192="","NO EVIDENCE","")))</f>
        <v/>
      </c>
    </row>
    <row r="193" ht="33.75" customHeight="1" s="41">
      <c r="A193" s="84" t="n"/>
      <c r="B193" s="84" t="n"/>
      <c r="C193" s="78" t="n"/>
      <c r="D193" s="84" t="n"/>
      <c r="E193" s="79" t="n"/>
      <c r="F193" s="78" t="n"/>
      <c r="G193" s="85">
        <f>IF(C193="","",IF(D193="","UNDECIDED",IF(F193="","NO EVIDENCE","")))</f>
        <v/>
      </c>
    </row>
    <row r="194" ht="33.75" customHeight="1" s="41">
      <c r="A194" s="86" t="n"/>
      <c r="B194" s="86" t="n"/>
      <c r="C194" s="80" t="n"/>
      <c r="D194" s="86" t="n"/>
      <c r="E194" s="81" t="n"/>
      <c r="F194" s="80" t="n"/>
      <c r="G194" s="85">
        <f>IF(C194="","",IF(D194="","UNDECIDED",IF(F194="","NO EVIDENCE","")))</f>
        <v/>
      </c>
    </row>
    <row r="195" ht="33.75" customHeight="1" s="41">
      <c r="A195" s="84" t="n"/>
      <c r="B195" s="84" t="n"/>
      <c r="C195" s="78" t="n"/>
      <c r="D195" s="84" t="n"/>
      <c r="E195" s="79" t="n"/>
      <c r="F195" s="78" t="n"/>
      <c r="G195" s="85">
        <f>IF(C195="","",IF(D195="","UNDECIDED",IF(F195="","NO EVIDENCE","")))</f>
        <v/>
      </c>
    </row>
    <row r="196" ht="33.75" customHeight="1" s="41">
      <c r="A196" s="86" t="n"/>
      <c r="B196" s="86" t="n"/>
      <c r="C196" s="80" t="n"/>
      <c r="D196" s="86" t="n"/>
      <c r="E196" s="81" t="n"/>
      <c r="F196" s="80" t="n"/>
      <c r="G196" s="85">
        <f>IF(C196="","",IF(D196="","UNDECIDED",IF(F196="","NO EVIDENCE","")))</f>
        <v/>
      </c>
    </row>
    <row r="197" ht="33.75" customHeight="1" s="41">
      <c r="A197" s="84" t="n"/>
      <c r="B197" s="84" t="n"/>
      <c r="C197" s="78" t="n"/>
      <c r="D197" s="84" t="n"/>
      <c r="E197" s="79" t="n"/>
      <c r="F197" s="78" t="n"/>
      <c r="G197" s="85">
        <f>IF(C197="","",IF(D197="","UNDECIDED",IF(F197="","NO EVIDENCE","")))</f>
        <v/>
      </c>
    </row>
    <row r="198" ht="33.75" customHeight="1" s="41">
      <c r="A198" s="86" t="n"/>
      <c r="B198" s="86" t="n"/>
      <c r="C198" s="80" t="n"/>
      <c r="D198" s="86" t="n"/>
      <c r="E198" s="81" t="n"/>
      <c r="F198" s="80" t="n"/>
      <c r="G198" s="85">
        <f>IF(C198="","",IF(D198="","UNDECIDED",IF(F198="","NO EVIDENCE","")))</f>
        <v/>
      </c>
    </row>
    <row r="199" ht="33.75" customHeight="1" s="41">
      <c r="A199" s="84" t="n"/>
      <c r="B199" s="84" t="n"/>
      <c r="C199" s="78" t="n"/>
      <c r="D199" s="84" t="n"/>
      <c r="E199" s="79" t="n"/>
      <c r="F199" s="78" t="n"/>
      <c r="G199" s="85">
        <f>IF(C199="","",IF(D199="","UNDECIDED",IF(F199="","NO EVIDENCE","")))</f>
        <v/>
      </c>
    </row>
    <row r="200" ht="33.75" customHeight="1" s="41">
      <c r="A200" s="86" t="n"/>
      <c r="B200" s="86" t="n"/>
      <c r="C200" s="80" t="n"/>
      <c r="D200" s="86" t="n"/>
      <c r="E200" s="81" t="n"/>
      <c r="F200" s="80" t="n"/>
      <c r="G200" s="85">
        <f>IF(C200="","",IF(D200="","UNDECIDED",IF(F200="","NO EVIDENCE","")))</f>
        <v/>
      </c>
    </row>
    <row r="201" ht="33.75" customHeight="1" s="41">
      <c r="A201" s="84" t="n"/>
      <c r="B201" s="84" t="n"/>
      <c r="C201" s="78" t="n"/>
      <c r="D201" s="84" t="n"/>
      <c r="E201" s="79" t="n"/>
      <c r="F201" s="78" t="n"/>
      <c r="G201" s="85">
        <f>IF(C201="","",IF(D201="","UNDECIDED",IF(F201="","NO EVIDENCE","")))</f>
        <v/>
      </c>
    </row>
    <row r="202" ht="33.75" customHeight="1" s="41">
      <c r="A202" s="86" t="n"/>
      <c r="B202" s="86" t="n"/>
      <c r="C202" s="80" t="n"/>
      <c r="D202" s="86" t="n"/>
      <c r="E202" s="81" t="n"/>
      <c r="F202" s="80" t="n"/>
      <c r="G202" s="85">
        <f>IF(C202="","",IF(D202="","UNDECIDED",IF(F202="","NO EVIDENCE","")))</f>
        <v/>
      </c>
    </row>
    <row r="203" ht="33.75" customHeight="1" s="41">
      <c r="A203" s="84" t="n"/>
      <c r="B203" s="84" t="n"/>
      <c r="C203" s="78" t="n"/>
      <c r="D203" s="84" t="n"/>
      <c r="E203" s="79" t="n"/>
      <c r="F203" s="78" t="n"/>
      <c r="G203" s="85">
        <f>IF(C203="","",IF(D203="","UNDECIDED",IF(F203="","NO EVIDENCE","")))</f>
        <v/>
      </c>
    </row>
    <row r="204" ht="33.75" customHeight="1" s="41">
      <c r="A204" s="86" t="n"/>
      <c r="B204" s="86" t="n"/>
      <c r="C204" s="80" t="n"/>
      <c r="D204" s="86" t="n"/>
      <c r="E204" s="81" t="n"/>
      <c r="F204" s="80" t="n"/>
      <c r="G204" s="85">
        <f>IF(C204="","",IF(D204="","UNDECIDED",IF(F204="","NO EVIDENCE","")))</f>
        <v/>
      </c>
    </row>
    <row r="205" ht="33.75" customHeight="1" s="41">
      <c r="A205" s="84" t="n"/>
      <c r="B205" s="84" t="n"/>
      <c r="C205" s="78" t="n"/>
      <c r="D205" s="84" t="n"/>
      <c r="E205" s="79" t="n"/>
      <c r="F205" s="78" t="n"/>
      <c r="G205" s="85">
        <f>IF(C205="","",IF(D205="","UNDECIDED",IF(F205="","NO EVIDENCE","")))</f>
        <v/>
      </c>
    </row>
    <row r="206" ht="33.75" customHeight="1" s="41">
      <c r="A206" s="86" t="n"/>
      <c r="B206" s="86" t="n"/>
      <c r="C206" s="80" t="n"/>
      <c r="D206" s="86" t="n"/>
      <c r="E206" s="81" t="n"/>
      <c r="F206" s="80" t="n"/>
      <c r="G206" s="85">
        <f>IF(C206="","",IF(D206="","UNDECIDED",IF(F206="","NO EVIDENCE","")))</f>
        <v/>
      </c>
    </row>
    <row r="207" ht="33.75" customHeight="1" s="41">
      <c r="A207" s="84" t="n"/>
      <c r="B207" s="84" t="n"/>
      <c r="C207" s="78" t="n"/>
      <c r="D207" s="84" t="n"/>
      <c r="E207" s="79" t="n"/>
      <c r="F207" s="78" t="n"/>
      <c r="G207" s="85">
        <f>IF(C207="","",IF(D207="","UNDECIDED",IF(F207="","NO EVIDENCE","")))</f>
        <v/>
      </c>
    </row>
    <row r="208" ht="33.75" customHeight="1" s="41">
      <c r="A208" s="86" t="n"/>
      <c r="B208" s="86" t="n"/>
      <c r="C208" s="80" t="n"/>
      <c r="D208" s="86" t="n"/>
      <c r="E208" s="81" t="n"/>
      <c r="F208" s="80" t="n"/>
      <c r="G208" s="85">
        <f>IF(C208="","",IF(D208="","UNDECIDED",IF(F208="","NO EVIDENCE","")))</f>
        <v/>
      </c>
    </row>
    <row r="209" ht="33.75" customHeight="1" s="41">
      <c r="A209" s="84" t="n"/>
      <c r="B209" s="84" t="n"/>
      <c r="C209" s="78" t="n"/>
      <c r="D209" s="84" t="n"/>
      <c r="E209" s="79" t="n"/>
      <c r="F209" s="78" t="n"/>
      <c r="G209" s="85">
        <f>IF(C209="","",IF(D209="","UNDECIDED",IF(F209="","NO EVIDENCE","")))</f>
        <v/>
      </c>
    </row>
    <row r="210" ht="33.75" customHeight="1" s="41">
      <c r="A210" s="86" t="n"/>
      <c r="B210" s="86" t="n"/>
      <c r="C210" s="80" t="n"/>
      <c r="D210" s="86" t="n"/>
      <c r="E210" s="81" t="n"/>
      <c r="F210" s="80" t="n"/>
      <c r="G210" s="85">
        <f>IF(C210="","",IF(D210="","UNDECIDED",IF(F210="","NO EVIDENCE","")))</f>
        <v/>
      </c>
    </row>
    <row r="211" ht="33.75" customHeight="1" s="41">
      <c r="A211" s="84" t="n"/>
      <c r="B211" s="84" t="n"/>
      <c r="C211" s="78" t="n"/>
      <c r="D211" s="84" t="n"/>
      <c r="E211" s="79" t="n"/>
      <c r="F211" s="78" t="n"/>
      <c r="G211" s="85">
        <f>IF(C211="","",IF(D211="","UNDECIDED",IF(F211="","NO EVIDENCE","")))</f>
        <v/>
      </c>
    </row>
    <row r="212" ht="33.75" customHeight="1" s="41">
      <c r="A212" s="86" t="n"/>
      <c r="B212" s="86" t="n"/>
      <c r="C212" s="80" t="n"/>
      <c r="D212" s="86" t="n"/>
      <c r="E212" s="81" t="n"/>
      <c r="F212" s="80" t="n"/>
      <c r="G212" s="85">
        <f>IF(C212="","",IF(D212="","UNDECIDED",IF(F212="","NO EVIDENCE","")))</f>
        <v/>
      </c>
    </row>
    <row r="213" ht="33.75" customHeight="1" s="41">
      <c r="A213" s="84" t="n"/>
      <c r="B213" s="84" t="n"/>
      <c r="C213" s="78" t="n"/>
      <c r="D213" s="84" t="n"/>
      <c r="E213" s="79" t="n"/>
      <c r="F213" s="78" t="n"/>
      <c r="G213" s="85">
        <f>IF(C213="","",IF(D213="","UNDECIDED",IF(F213="","NO EVIDENCE","")))</f>
        <v/>
      </c>
    </row>
    <row r="214" ht="33.75" customHeight="1" s="41">
      <c r="A214" s="86" t="n"/>
      <c r="B214" s="86" t="n"/>
      <c r="C214" s="80" t="n"/>
      <c r="D214" s="86" t="n"/>
      <c r="E214" s="81" t="n"/>
      <c r="F214" s="80" t="n"/>
      <c r="G214" s="85">
        <f>IF(C214="","",IF(D214="","UNDECIDED",IF(F214="","NO EVIDENCE","")))</f>
        <v/>
      </c>
    </row>
    <row r="215" ht="33.75" customHeight="1" s="41">
      <c r="A215" s="84" t="n"/>
      <c r="B215" s="84" t="n"/>
      <c r="C215" s="78" t="n"/>
      <c r="D215" s="84" t="n"/>
      <c r="E215" s="79" t="n"/>
      <c r="F215" s="78" t="n"/>
      <c r="G215" s="85">
        <f>IF(C215="","",IF(D215="","UNDECIDED",IF(F215="","NO EVIDENCE","")))</f>
        <v/>
      </c>
    </row>
    <row r="216" ht="33.75" customHeight="1" s="41">
      <c r="A216" s="86" t="n"/>
      <c r="B216" s="86" t="n"/>
      <c r="C216" s="80" t="n"/>
      <c r="D216" s="86" t="n"/>
      <c r="E216" s="81" t="n"/>
      <c r="F216" s="80" t="n"/>
      <c r="G216" s="85">
        <f>IF(C216="","",IF(D216="","UNDECIDED",IF(F216="","NO EVIDENCE","")))</f>
        <v/>
      </c>
    </row>
    <row r="217" ht="33.75" customHeight="1" s="41">
      <c r="A217" s="84" t="n"/>
      <c r="B217" s="84" t="n"/>
      <c r="C217" s="78" t="n"/>
      <c r="D217" s="84" t="n"/>
      <c r="E217" s="79" t="n"/>
      <c r="F217" s="78" t="n"/>
      <c r="G217" s="85">
        <f>IF(C217="","",IF(D217="","UNDECIDED",IF(F217="","NO EVIDENCE","")))</f>
        <v/>
      </c>
    </row>
    <row r="218" ht="33.75" customHeight="1" s="41">
      <c r="A218" s="86" t="n"/>
      <c r="B218" s="86" t="n"/>
      <c r="C218" s="80" t="n"/>
      <c r="D218" s="86" t="n"/>
      <c r="E218" s="81" t="n"/>
      <c r="F218" s="80" t="n"/>
      <c r="G218" s="85">
        <f>IF(C218="","",IF(D218="","UNDECIDED",IF(F218="","NO EVIDENCE","")))</f>
        <v/>
      </c>
    </row>
    <row r="219" ht="33.75" customHeight="1" s="41">
      <c r="A219" s="84" t="n"/>
      <c r="B219" s="84" t="n"/>
      <c r="C219" s="78" t="n"/>
      <c r="D219" s="84" t="n"/>
      <c r="E219" s="79" t="n"/>
      <c r="F219" s="78" t="n"/>
      <c r="G219" s="85">
        <f>IF(C219="","",IF(D219="","UNDECIDED",IF(F219="","NO EVIDENCE","")))</f>
        <v/>
      </c>
    </row>
    <row r="220" ht="33.75" customHeight="1" s="41">
      <c r="A220" s="86" t="n"/>
      <c r="B220" s="86" t="n"/>
      <c r="C220" s="80" t="n"/>
      <c r="D220" s="86" t="n"/>
      <c r="E220" s="81" t="n"/>
      <c r="F220" s="80" t="n"/>
      <c r="G220" s="85">
        <f>IF(C220="","",IF(D220="","UNDECIDED",IF(F220="","NO EVIDENCE","")))</f>
        <v/>
      </c>
    </row>
    <row r="221" ht="33.75" customHeight="1" s="41">
      <c r="A221" s="84" t="n"/>
      <c r="B221" s="84" t="n"/>
      <c r="C221" s="78" t="n"/>
      <c r="D221" s="84" t="n"/>
      <c r="E221" s="79" t="n"/>
      <c r="F221" s="78" t="n"/>
      <c r="G221" s="85">
        <f>IF(C221="","",IF(D221="","UNDECIDED",IF(F221="","NO EVIDENCE","")))</f>
        <v/>
      </c>
    </row>
    <row r="222" ht="33.75" customHeight="1" s="41">
      <c r="A222" s="86" t="n"/>
      <c r="B222" s="86" t="n"/>
      <c r="C222" s="80" t="n"/>
      <c r="D222" s="86" t="n"/>
      <c r="E222" s="81" t="n"/>
      <c r="F222" s="80" t="n"/>
      <c r="G222" s="85">
        <f>IF(C222="","",IF(D222="","UNDECIDED",IF(F222="","NO EVIDENCE","")))</f>
        <v/>
      </c>
    </row>
    <row r="223" ht="33.75" customHeight="1" s="41">
      <c r="A223" s="84" t="n"/>
      <c r="B223" s="84" t="n"/>
      <c r="C223" s="78" t="n"/>
      <c r="D223" s="84" t="n"/>
      <c r="E223" s="79" t="n"/>
      <c r="F223" s="78" t="n"/>
      <c r="G223" s="85">
        <f>IF(C223="","",IF(D223="","UNDECIDED",IF(F223="","NO EVIDENCE","")))</f>
        <v/>
      </c>
    </row>
    <row r="224" ht="33.75" customHeight="1" s="41">
      <c r="A224" s="86" t="n"/>
      <c r="B224" s="86" t="n"/>
      <c r="C224" s="80" t="n"/>
      <c r="D224" s="86" t="n"/>
      <c r="E224" s="81" t="n"/>
      <c r="F224" s="80" t="n"/>
      <c r="G224" s="85">
        <f>IF(C224="","",IF(D224="","UNDECIDED",IF(F224="","NO EVIDENCE","")))</f>
        <v/>
      </c>
    </row>
    <row r="225" ht="33.75" customHeight="1" s="41">
      <c r="A225" s="84" t="n"/>
      <c r="B225" s="84" t="n"/>
      <c r="C225" s="78" t="n"/>
      <c r="D225" s="84" t="n"/>
      <c r="E225" s="79" t="n"/>
      <c r="F225" s="78" t="n"/>
      <c r="G225" s="85">
        <f>IF(C225="","",IF(D225="","UNDECIDED",IF(F225="","NO EVIDENCE","")))</f>
        <v/>
      </c>
    </row>
    <row r="226" ht="33.75" customHeight="1" s="41">
      <c r="A226" s="86" t="n"/>
      <c r="B226" s="86" t="n"/>
      <c r="C226" s="80" t="n"/>
      <c r="D226" s="86" t="n"/>
      <c r="E226" s="81" t="n"/>
      <c r="F226" s="80" t="n"/>
      <c r="G226" s="85">
        <f>IF(C226="","",IF(D226="","UNDECIDED",IF(F226="","NO EVIDENCE","")))</f>
        <v/>
      </c>
    </row>
    <row r="227" ht="33.75" customHeight="1" s="41">
      <c r="A227" s="84" t="n"/>
      <c r="B227" s="84" t="n"/>
      <c r="C227" s="78" t="n"/>
      <c r="D227" s="84" t="n"/>
      <c r="E227" s="79" t="n"/>
      <c r="F227" s="78" t="n"/>
      <c r="G227" s="85">
        <f>IF(C227="","",IF(D227="","UNDECIDED",IF(F227="","NO EVIDENCE","")))</f>
        <v/>
      </c>
    </row>
    <row r="228" ht="33.75" customHeight="1" s="41">
      <c r="A228" s="86" t="n"/>
      <c r="B228" s="86" t="n"/>
      <c r="C228" s="80" t="n"/>
      <c r="D228" s="86" t="n"/>
      <c r="E228" s="81" t="n"/>
      <c r="F228" s="80" t="n"/>
      <c r="G228" s="85">
        <f>IF(C228="","",IF(D228="","UNDECIDED",IF(F228="","NO EVIDENCE","")))</f>
        <v/>
      </c>
    </row>
    <row r="229" ht="33.75" customHeight="1" s="41">
      <c r="A229" s="84" t="n"/>
      <c r="B229" s="84" t="n"/>
      <c r="C229" s="78" t="n"/>
      <c r="D229" s="84" t="n"/>
      <c r="E229" s="79" t="n"/>
      <c r="F229" s="78" t="n"/>
      <c r="G229" s="85">
        <f>IF(C229="","",IF(D229="","UNDECIDED",IF(F229="","NO EVIDENCE","")))</f>
        <v/>
      </c>
    </row>
    <row r="230" ht="33.75" customHeight="1" s="41">
      <c r="A230" s="86" t="n"/>
      <c r="B230" s="86" t="n"/>
      <c r="C230" s="80" t="n"/>
      <c r="D230" s="86" t="n"/>
      <c r="E230" s="81" t="n"/>
      <c r="F230" s="80" t="n"/>
      <c r="G230" s="85">
        <f>IF(C230="","",IF(D230="","UNDECIDED",IF(F230="","NO EVIDENCE","")))</f>
        <v/>
      </c>
    </row>
    <row r="231" ht="33.75" customHeight="1" s="41">
      <c r="A231" s="84" t="n"/>
      <c r="B231" s="84" t="n"/>
      <c r="C231" s="78" t="n"/>
      <c r="D231" s="84" t="n"/>
      <c r="E231" s="79" t="n"/>
      <c r="F231" s="78" t="n"/>
      <c r="G231" s="85">
        <f>IF(C231="","",IF(D231="","UNDECIDED",IF(F231="","NO EVIDENCE","")))</f>
        <v/>
      </c>
    </row>
    <row r="232" ht="33.75" customHeight="1" s="41">
      <c r="A232" s="86" t="n"/>
      <c r="B232" s="86" t="n"/>
      <c r="C232" s="80" t="n"/>
      <c r="D232" s="86" t="n"/>
      <c r="E232" s="81" t="n"/>
      <c r="F232" s="80" t="n"/>
      <c r="G232" s="85">
        <f>IF(C232="","",IF(D232="","UNDECIDED",IF(F232="","NO EVIDENCE","")))</f>
        <v/>
      </c>
    </row>
    <row r="233" ht="33.75" customHeight="1" s="41">
      <c r="A233" s="84" t="n"/>
      <c r="B233" s="84" t="n"/>
      <c r="C233" s="78" t="n"/>
      <c r="D233" s="84" t="n"/>
      <c r="E233" s="79" t="n"/>
      <c r="F233" s="78" t="n"/>
      <c r="G233" s="85">
        <f>IF(C233="","",IF(D233="","UNDECIDED",IF(F233="","NO EVIDENCE","")))</f>
        <v/>
      </c>
    </row>
    <row r="234" ht="33.75" customHeight="1" s="41">
      <c r="A234" s="86" t="n"/>
      <c r="B234" s="86" t="n"/>
      <c r="C234" s="80" t="n"/>
      <c r="D234" s="86" t="n"/>
      <c r="E234" s="81" t="n"/>
      <c r="F234" s="80" t="n"/>
      <c r="G234" s="85">
        <f>IF(C234="","",IF(D234="","UNDECIDED",IF(F234="","NO EVIDENCE","")))</f>
        <v/>
      </c>
    </row>
    <row r="235" ht="33.75" customHeight="1" s="41">
      <c r="A235" s="84" t="n"/>
      <c r="B235" s="84" t="n"/>
      <c r="C235" s="78" t="n"/>
      <c r="D235" s="84" t="n"/>
      <c r="E235" s="79" t="n"/>
      <c r="F235" s="78" t="n"/>
      <c r="G235" s="85">
        <f>IF(C235="","",IF(D235="","UNDECIDED",IF(F235="","NO EVIDENCE","")))</f>
        <v/>
      </c>
    </row>
    <row r="236" ht="33.75" customHeight="1" s="41">
      <c r="A236" s="86" t="n"/>
      <c r="B236" s="86" t="n"/>
      <c r="C236" s="80" t="n"/>
      <c r="D236" s="86" t="n"/>
      <c r="E236" s="81" t="n"/>
      <c r="F236" s="80" t="n"/>
      <c r="G236" s="85">
        <f>IF(C236="","",IF(D236="","UNDECIDED",IF(F236="","NO EVIDENCE","")))</f>
        <v/>
      </c>
    </row>
    <row r="237" ht="33.75" customHeight="1" s="41">
      <c r="A237" s="84" t="n"/>
      <c r="B237" s="84" t="n"/>
      <c r="C237" s="78" t="n"/>
      <c r="D237" s="84" t="n"/>
      <c r="E237" s="79" t="n"/>
      <c r="F237" s="78" t="n"/>
      <c r="G237" s="85">
        <f>IF(C237="","",IF(D237="","UNDECIDED",IF(F237="","NO EVIDENCE","")))</f>
        <v/>
      </c>
    </row>
    <row r="238" ht="33.75" customHeight="1" s="41">
      <c r="A238" s="86" t="n"/>
      <c r="B238" s="86" t="n"/>
      <c r="C238" s="80" t="n"/>
      <c r="D238" s="86" t="n"/>
      <c r="E238" s="81" t="n"/>
      <c r="F238" s="80" t="n"/>
      <c r="G238" s="85">
        <f>IF(C238="","",IF(D238="","UNDECIDED",IF(F238="","NO EVIDENCE","")))</f>
        <v/>
      </c>
    </row>
    <row r="239" ht="33.75" customHeight="1" s="41">
      <c r="A239" s="84" t="n"/>
      <c r="B239" s="84" t="n"/>
      <c r="C239" s="78" t="n"/>
      <c r="D239" s="84" t="n"/>
      <c r="E239" s="79" t="n"/>
      <c r="F239" s="78" t="n"/>
      <c r="G239" s="85">
        <f>IF(C239="","",IF(D239="","UNDECIDED",IF(F239="","NO EVIDENCE","")))</f>
        <v/>
      </c>
    </row>
    <row r="240" ht="33.75" customHeight="1" s="41">
      <c r="A240" s="86" t="n"/>
      <c r="B240" s="86" t="n"/>
      <c r="C240" s="80" t="n"/>
      <c r="D240" s="86" t="n"/>
      <c r="E240" s="81" t="n"/>
      <c r="F240" s="80" t="n"/>
      <c r="G240" s="85">
        <f>IF(C240="","",IF(D240="","UNDECIDED",IF(F240="","NO EVIDENCE","")))</f>
        <v/>
      </c>
    </row>
    <row r="241" ht="33.75" customHeight="1" s="41">
      <c r="A241" s="84" t="n"/>
      <c r="B241" s="84" t="n"/>
      <c r="C241" s="78" t="n"/>
      <c r="D241" s="84" t="n"/>
      <c r="E241" s="79" t="n"/>
      <c r="F241" s="78" t="n"/>
      <c r="G241" s="85">
        <f>IF(C241="","",IF(D241="","UNDECIDED",IF(F241="","NO EVIDENCE","")))</f>
        <v/>
      </c>
    </row>
    <row r="242" ht="33.75" customHeight="1" s="41">
      <c r="A242" s="86" t="n"/>
      <c r="B242" s="86" t="n"/>
      <c r="C242" s="80" t="n"/>
      <c r="D242" s="86" t="n"/>
      <c r="E242" s="81" t="n"/>
      <c r="F242" s="80" t="n"/>
      <c r="G242" s="85">
        <f>IF(C242="","",IF(D242="","UNDECIDED",IF(F242="","NO EVIDENCE","")))</f>
        <v/>
      </c>
    </row>
    <row r="243" ht="33.75" customHeight="1" s="41">
      <c r="A243" s="84" t="n"/>
      <c r="B243" s="84" t="n"/>
      <c r="C243" s="78" t="n"/>
      <c r="D243" s="84" t="n"/>
      <c r="E243" s="79" t="n"/>
      <c r="F243" s="78" t="n"/>
      <c r="G243" s="85">
        <f>IF(C243="","",IF(D243="","UNDECIDED",IF(F243="","NO EVIDENCE","")))</f>
        <v/>
      </c>
    </row>
    <row r="244" ht="33.75" customHeight="1" s="41">
      <c r="A244" s="86" t="n"/>
      <c r="B244" s="86" t="n"/>
      <c r="C244" s="80" t="n"/>
      <c r="D244" s="86" t="n"/>
      <c r="E244" s="81" t="n"/>
      <c r="F244" s="80" t="n"/>
      <c r="G244" s="85">
        <f>IF(C244="","",IF(D244="","UNDECIDED",IF(F244="","NO EVIDENCE","")))</f>
        <v/>
      </c>
    </row>
    <row r="245" ht="33.75" customHeight="1" s="41">
      <c r="A245" s="84" t="n"/>
      <c r="B245" s="84" t="n"/>
      <c r="C245" s="78" t="n"/>
      <c r="D245" s="84" t="n"/>
      <c r="E245" s="79" t="n"/>
      <c r="F245" s="78" t="n"/>
      <c r="G245" s="85">
        <f>IF(C245="","",IF(D245="","UNDECIDED",IF(F245="","NO EVIDENCE","")))</f>
        <v/>
      </c>
    </row>
    <row r="246" ht="33.75" customHeight="1" s="41">
      <c r="A246" s="86" t="n"/>
      <c r="B246" s="86" t="n"/>
      <c r="C246" s="80" t="n"/>
      <c r="D246" s="86" t="n"/>
      <c r="E246" s="81" t="n"/>
      <c r="F246" s="80" t="n"/>
      <c r="G246" s="85">
        <f>IF(C246="","",IF(D246="","UNDECIDED",IF(F246="","NO EVIDENCE","")))</f>
        <v/>
      </c>
    </row>
    <row r="247" ht="33.75" customHeight="1" s="41">
      <c r="A247" s="84" t="n"/>
      <c r="B247" s="84" t="n"/>
      <c r="C247" s="78" t="n"/>
      <c r="D247" s="84" t="n"/>
      <c r="E247" s="79" t="n"/>
      <c r="F247" s="78" t="n"/>
      <c r="G247" s="85">
        <f>IF(C247="","",IF(D247="","UNDECIDED",IF(F247="","NO EVIDENCE","")))</f>
        <v/>
      </c>
    </row>
    <row r="248" ht="33.75" customHeight="1" s="41">
      <c r="A248" s="86" t="n"/>
      <c r="B248" s="86" t="n"/>
      <c r="C248" s="80" t="n"/>
      <c r="D248" s="86" t="n"/>
      <c r="E248" s="81" t="n"/>
      <c r="F248" s="80" t="n"/>
      <c r="G248" s="85">
        <f>IF(C248="","",IF(D248="","UNDECIDED",IF(F248="","NO EVIDENCE","")))</f>
        <v/>
      </c>
    </row>
    <row r="249" ht="33.75" customHeight="1" s="41">
      <c r="A249" s="84" t="n"/>
      <c r="B249" s="84" t="n"/>
      <c r="C249" s="78" t="n"/>
      <c r="D249" s="84" t="n"/>
      <c r="E249" s="79" t="n"/>
      <c r="F249" s="78" t="n"/>
      <c r="G249" s="85">
        <f>IF(C249="","",IF(D249="","UNDECIDED",IF(F249="","NO EVIDENCE","")))</f>
        <v/>
      </c>
    </row>
    <row r="250" ht="33.75" customHeight="1" s="41">
      <c r="A250" s="86" t="n"/>
      <c r="B250" s="86" t="n"/>
      <c r="C250" s="80" t="n"/>
      <c r="D250" s="86" t="n"/>
      <c r="E250" s="81" t="n"/>
      <c r="F250" s="80" t="n"/>
      <c r="G250" s="85">
        <f>IF(C250="","",IF(D250="","UNDECIDED",IF(F250="","NO EVIDENCE","")))</f>
        <v/>
      </c>
    </row>
    <row r="251" ht="33.75" customHeight="1" s="41">
      <c r="A251" s="84" t="n"/>
      <c r="B251" s="84" t="n"/>
      <c r="C251" s="78" t="n"/>
      <c r="D251" s="84" t="n"/>
      <c r="E251" s="79" t="n"/>
      <c r="F251" s="78" t="n"/>
      <c r="G251" s="85">
        <f>IF(C251="","",IF(D251="","UNDECIDED",IF(F251="","NO EVIDENCE","")))</f>
        <v/>
      </c>
    </row>
    <row r="252" ht="33.75" customHeight="1" s="41">
      <c r="A252" s="86" t="n"/>
      <c r="B252" s="86" t="n"/>
      <c r="C252" s="80" t="n"/>
      <c r="D252" s="86" t="n"/>
      <c r="E252" s="81" t="n"/>
      <c r="F252" s="80" t="n"/>
      <c r="G252" s="85">
        <f>IF(C252="","",IF(D252="","UNDECIDED",IF(F252="","NO EVIDENCE","")))</f>
        <v/>
      </c>
    </row>
    <row r="253" ht="33.75" customHeight="1" s="41">
      <c r="A253" s="84" t="n"/>
      <c r="B253" s="84" t="n"/>
      <c r="C253" s="78" t="n"/>
      <c r="D253" s="84" t="n"/>
      <c r="E253" s="79" t="n"/>
      <c r="F253" s="78" t="n"/>
      <c r="G253" s="85">
        <f>IF(C253="","",IF(D253="","UNDECIDED",IF(F253="","NO EVIDENCE","")))</f>
        <v/>
      </c>
    </row>
    <row r="254" ht="33.75" customHeight="1" s="41">
      <c r="A254" s="86" t="n"/>
      <c r="B254" s="86" t="n"/>
      <c r="C254" s="80" t="n"/>
      <c r="D254" s="86" t="n"/>
      <c r="E254" s="81" t="n"/>
      <c r="F254" s="80" t="n"/>
      <c r="G254" s="85">
        <f>IF(C254="","",IF(D254="","UNDECIDED",IF(F254="","NO EVIDENCE","")))</f>
        <v/>
      </c>
    </row>
    <row r="255" ht="33.75" customHeight="1" s="41">
      <c r="A255" s="84" t="n"/>
      <c r="B255" s="84" t="n"/>
      <c r="C255" s="78" t="n"/>
      <c r="D255" s="84" t="n"/>
      <c r="E255" s="79" t="n"/>
      <c r="F255" s="78" t="n"/>
      <c r="G255" s="85">
        <f>IF(C255="","",IF(D255="","UNDECIDED",IF(F255="","NO EVIDENCE","")))</f>
        <v/>
      </c>
    </row>
    <row r="256" ht="33.75" customHeight="1" s="41">
      <c r="A256" s="86" t="n"/>
      <c r="B256" s="86" t="n"/>
      <c r="C256" s="80" t="n"/>
      <c r="D256" s="86" t="n"/>
      <c r="E256" s="81" t="n"/>
      <c r="F256" s="80" t="n"/>
      <c r="G256" s="85">
        <f>IF(C256="","",IF(D256="","UNDECIDED",IF(F256="","NO EVIDENCE","")))</f>
        <v/>
      </c>
    </row>
    <row r="257" ht="33.75" customHeight="1" s="41">
      <c r="A257" s="84" t="n"/>
      <c r="B257" s="84" t="n"/>
      <c r="C257" s="78" t="n"/>
      <c r="D257" s="84" t="n"/>
      <c r="E257" s="79" t="n"/>
      <c r="F257" s="78" t="n"/>
      <c r="G257" s="85">
        <f>IF(C257="","",IF(D257="","UNDECIDED",IF(F257="","NO EVIDENCE","")))</f>
        <v/>
      </c>
    </row>
    <row r="258" ht="33.75" customHeight="1" s="41">
      <c r="A258" s="86" t="n"/>
      <c r="B258" s="86" t="n"/>
      <c r="C258" s="80" t="n"/>
      <c r="D258" s="86" t="n"/>
      <c r="E258" s="81" t="n"/>
      <c r="F258" s="80" t="n"/>
      <c r="G258" s="85">
        <f>IF(C258="","",IF(D258="","UNDECIDED",IF(F258="","NO EVIDENCE","")))</f>
        <v/>
      </c>
    </row>
    <row r="259" ht="33.75" customHeight="1" s="41">
      <c r="A259" s="84" t="n"/>
      <c r="B259" s="84" t="n"/>
      <c r="C259" s="78" t="n"/>
      <c r="D259" s="84" t="n"/>
      <c r="E259" s="79" t="n"/>
      <c r="F259" s="78" t="n"/>
      <c r="G259" s="85">
        <f>IF(C259="","",IF(D259="","UNDECIDED",IF(F259="","NO EVIDENCE","")))</f>
        <v/>
      </c>
    </row>
    <row r="260" ht="33.75" customHeight="1" s="41">
      <c r="A260" s="86" t="n"/>
      <c r="B260" s="86" t="n"/>
      <c r="C260" s="80" t="n"/>
      <c r="D260" s="86" t="n"/>
      <c r="E260" s="81" t="n"/>
      <c r="F260" s="80" t="n"/>
      <c r="G260" s="85">
        <f>IF(C260="","",IF(D260="","UNDECIDED",IF(F260="","NO EVIDENCE","")))</f>
        <v/>
      </c>
    </row>
    <row r="261" ht="33.75" customHeight="1" s="41">
      <c r="A261" s="84" t="n"/>
      <c r="B261" s="84" t="n"/>
      <c r="C261" s="78" t="n"/>
      <c r="D261" s="84" t="n"/>
      <c r="E261" s="79" t="n"/>
      <c r="F261" s="78" t="n"/>
      <c r="G261" s="85">
        <f>IF(C261="","",IF(D261="","UNDECIDED",IF(F261="","NO EVIDENCE","")))</f>
        <v/>
      </c>
    </row>
    <row r="262" ht="33.75" customHeight="1" s="41">
      <c r="A262" s="86" t="n"/>
      <c r="B262" s="86" t="n"/>
      <c r="C262" s="80" t="n"/>
      <c r="D262" s="86" t="n"/>
      <c r="E262" s="81" t="n"/>
      <c r="F262" s="80" t="n"/>
      <c r="G262" s="85">
        <f>IF(C262="","",IF(D262="","UNDECIDED",IF(F262="","NO EVIDENCE","")))</f>
        <v/>
      </c>
    </row>
    <row r="263" ht="33.75" customHeight="1" s="41">
      <c r="A263" s="84" t="n"/>
      <c r="B263" s="84" t="n"/>
      <c r="C263" s="78" t="n"/>
      <c r="D263" s="84" t="n"/>
      <c r="E263" s="79" t="n"/>
      <c r="F263" s="78" t="n"/>
      <c r="G263" s="85">
        <f>IF(C263="","",IF(D263="","UNDECIDED",IF(F263="","NO EVIDENCE","")))</f>
        <v/>
      </c>
    </row>
    <row r="264" ht="33.75" customHeight="1" s="41">
      <c r="A264" s="86" t="n"/>
      <c r="B264" s="86" t="n"/>
      <c r="C264" s="80" t="n"/>
      <c r="D264" s="86" t="n"/>
      <c r="E264" s="81" t="n"/>
      <c r="F264" s="80" t="n"/>
      <c r="G264" s="85">
        <f>IF(C264="","",IF(D264="","UNDECIDED",IF(F264="","NO EVIDENCE","")))</f>
        <v/>
      </c>
    </row>
    <row r="265" ht="33.75" customHeight="1" s="41">
      <c r="A265" s="84" t="n"/>
      <c r="B265" s="84" t="n"/>
      <c r="C265" s="78" t="n"/>
      <c r="D265" s="84" t="n"/>
      <c r="E265" s="79" t="n"/>
      <c r="F265" s="78" t="n"/>
      <c r="G265" s="85">
        <f>IF(C265="","",IF(D265="","UNDECIDED",IF(F265="","NO EVIDENCE","")))</f>
        <v/>
      </c>
    </row>
    <row r="266" ht="33.75" customHeight="1" s="41">
      <c r="A266" s="86" t="n"/>
      <c r="B266" s="86" t="n"/>
      <c r="C266" s="80" t="n"/>
      <c r="D266" s="86" t="n"/>
      <c r="E266" s="81" t="n"/>
      <c r="F266" s="80" t="n"/>
      <c r="G266" s="85">
        <f>IF(C266="","",IF(D266="","UNDECIDED",IF(F266="","NO EVIDENCE","")))</f>
        <v/>
      </c>
    </row>
    <row r="267" ht="33.75" customHeight="1" s="41">
      <c r="A267" s="84" t="n"/>
      <c r="B267" s="84" t="n"/>
      <c r="C267" s="78" t="n"/>
      <c r="D267" s="84" t="n"/>
      <c r="E267" s="79" t="n"/>
      <c r="F267" s="78" t="n"/>
      <c r="G267" s="85">
        <f>IF(C267="","",IF(D267="","UNDECIDED",IF(F267="","NO EVIDENCE","")))</f>
        <v/>
      </c>
    </row>
    <row r="268" ht="33.75" customHeight="1" s="41">
      <c r="A268" s="86" t="n"/>
      <c r="B268" s="86" t="n"/>
      <c r="C268" s="80" t="n"/>
      <c r="D268" s="86" t="n"/>
      <c r="E268" s="81" t="n"/>
      <c r="F268" s="80" t="n"/>
      <c r="G268" s="85">
        <f>IF(C268="","",IF(D268="","UNDECIDED",IF(F268="","NO EVIDENCE","")))</f>
        <v/>
      </c>
    </row>
    <row r="269" ht="33.75" customHeight="1" s="41">
      <c r="A269" s="84" t="n"/>
      <c r="B269" s="84" t="n"/>
      <c r="C269" s="78" t="n"/>
      <c r="D269" s="84" t="n"/>
      <c r="E269" s="79" t="n"/>
      <c r="F269" s="78" t="n"/>
      <c r="G269" s="85">
        <f>IF(C269="","",IF(D269="","UNDECIDED",IF(F269="","NO EVIDENCE","")))</f>
        <v/>
      </c>
    </row>
    <row r="270" ht="33.75" customHeight="1" s="41">
      <c r="A270" s="86" t="n"/>
      <c r="B270" s="86" t="n"/>
      <c r="C270" s="80" t="n"/>
      <c r="D270" s="86" t="n"/>
      <c r="E270" s="81" t="n"/>
      <c r="F270" s="80" t="n"/>
      <c r="G270" s="85">
        <f>IF(C270="","",IF(D270="","UNDECIDED",IF(F270="","NO EVIDENCE","")))</f>
        <v/>
      </c>
    </row>
    <row r="271" ht="33.75" customHeight="1" s="41">
      <c r="A271" s="84" t="n"/>
      <c r="B271" s="84" t="n"/>
      <c r="C271" s="78" t="n"/>
      <c r="D271" s="84" t="n"/>
      <c r="E271" s="79" t="n"/>
      <c r="F271" s="78" t="n"/>
      <c r="G271" s="85">
        <f>IF(C271="","",IF(D271="","UNDECIDED",IF(F271="","NO EVIDENCE","")))</f>
        <v/>
      </c>
    </row>
    <row r="272" ht="33.75" customHeight="1" s="41">
      <c r="A272" s="86" t="n"/>
      <c r="B272" s="86" t="n"/>
      <c r="C272" s="80" t="n"/>
      <c r="D272" s="86" t="n"/>
      <c r="E272" s="81" t="n"/>
      <c r="F272" s="80" t="n"/>
      <c r="G272" s="85">
        <f>IF(C272="","",IF(D272="","UNDECIDED",IF(F272="","NO EVIDENCE","")))</f>
        <v/>
      </c>
    </row>
    <row r="273" ht="33.75" customHeight="1" s="41">
      <c r="A273" s="84" t="n"/>
      <c r="B273" s="84" t="n"/>
      <c r="C273" s="78" t="n"/>
      <c r="D273" s="84" t="n"/>
      <c r="E273" s="79" t="n"/>
      <c r="F273" s="78" t="n"/>
      <c r="G273" s="85">
        <f>IF(C273="","",IF(D273="","UNDECIDED",IF(F273="","NO EVIDENCE","")))</f>
        <v/>
      </c>
    </row>
    <row r="274" ht="33.75" customHeight="1" s="41">
      <c r="A274" s="86" t="n"/>
      <c r="B274" s="86" t="n"/>
      <c r="C274" s="80" t="n"/>
      <c r="D274" s="86" t="n"/>
      <c r="E274" s="81" t="n"/>
      <c r="F274" s="80" t="n"/>
      <c r="G274" s="85">
        <f>IF(C274="","",IF(D274="","UNDECIDED",IF(F274="","NO EVIDENCE","")))</f>
        <v/>
      </c>
    </row>
    <row r="275" ht="33.75" customHeight="1" s="41">
      <c r="A275" s="84" t="n"/>
      <c r="B275" s="84" t="n"/>
      <c r="C275" s="78" t="n"/>
      <c r="D275" s="84" t="n"/>
      <c r="E275" s="79" t="n"/>
      <c r="F275" s="78" t="n"/>
      <c r="G275" s="85">
        <f>IF(C275="","",IF(D275="","UNDECIDED",IF(F275="","NO EVIDENCE","")))</f>
        <v/>
      </c>
    </row>
    <row r="276" ht="33.75" customHeight="1" s="41">
      <c r="A276" s="86" t="n"/>
      <c r="B276" s="86" t="n"/>
      <c r="C276" s="80" t="n"/>
      <c r="D276" s="86" t="n"/>
      <c r="E276" s="81" t="n"/>
      <c r="F276" s="80" t="n"/>
      <c r="G276" s="85">
        <f>IF(C276="","",IF(D276="","UNDECIDED",IF(F276="","NO EVIDENCE","")))</f>
        <v/>
      </c>
    </row>
    <row r="277" ht="33.75" customHeight="1" s="41">
      <c r="A277" s="84" t="n"/>
      <c r="B277" s="84" t="n"/>
      <c r="C277" s="78" t="n"/>
      <c r="D277" s="84" t="n"/>
      <c r="E277" s="79" t="n"/>
      <c r="F277" s="78" t="n"/>
      <c r="G277" s="85">
        <f>IF(C277="","",IF(D277="","UNDECIDED",IF(F277="","NO EVIDENCE","")))</f>
        <v/>
      </c>
    </row>
    <row r="278" ht="33.75" customHeight="1" s="41">
      <c r="A278" s="86" t="n"/>
      <c r="B278" s="86" t="n"/>
      <c r="C278" s="80" t="n"/>
      <c r="D278" s="86" t="n"/>
      <c r="E278" s="81" t="n"/>
      <c r="F278" s="80" t="n"/>
      <c r="G278" s="85">
        <f>IF(C278="","",IF(D278="","UNDECIDED",IF(F278="","NO EVIDENCE","")))</f>
        <v/>
      </c>
    </row>
    <row r="279" ht="33.75" customHeight="1" s="41">
      <c r="A279" s="84" t="n"/>
      <c r="B279" s="84" t="n"/>
      <c r="C279" s="78" t="n"/>
      <c r="D279" s="84" t="n"/>
      <c r="E279" s="79" t="n"/>
      <c r="F279" s="78" t="n"/>
      <c r="G279" s="85">
        <f>IF(C279="","",IF(D279="","UNDECIDED",IF(F279="","NO EVIDENCE","")))</f>
        <v/>
      </c>
    </row>
    <row r="280" ht="33.75" customHeight="1" s="41">
      <c r="A280" s="86" t="n"/>
      <c r="B280" s="86" t="n"/>
      <c r="C280" s="80" t="n"/>
      <c r="D280" s="86" t="n"/>
      <c r="E280" s="81" t="n"/>
      <c r="F280" s="80" t="n"/>
      <c r="G280" s="85">
        <f>IF(C280="","",IF(D280="","UNDECIDED",IF(F280="","NO EVIDENCE","")))</f>
        <v/>
      </c>
    </row>
    <row r="281" ht="33.75" customHeight="1" s="41">
      <c r="A281" s="84" t="n"/>
      <c r="B281" s="84" t="n"/>
      <c r="C281" s="78" t="n"/>
      <c r="D281" s="84" t="n"/>
      <c r="E281" s="79" t="n"/>
      <c r="F281" s="78" t="n"/>
      <c r="G281" s="85">
        <f>IF(C281="","",IF(D281="","UNDECIDED",IF(F281="","NO EVIDENCE","")))</f>
        <v/>
      </c>
    </row>
    <row r="282" ht="33.75" customHeight="1" s="41">
      <c r="A282" s="86" t="n"/>
      <c r="B282" s="86" t="n"/>
      <c r="C282" s="80" t="n"/>
      <c r="D282" s="86" t="n"/>
      <c r="E282" s="81" t="n"/>
      <c r="F282" s="80" t="n"/>
      <c r="G282" s="85">
        <f>IF(C282="","",IF(D282="","UNDECIDED",IF(F282="","NO EVIDENCE","")))</f>
        <v/>
      </c>
    </row>
    <row r="283" ht="33.75" customHeight="1" s="41">
      <c r="A283" s="84" t="n"/>
      <c r="B283" s="84" t="n"/>
      <c r="C283" s="78" t="n"/>
      <c r="D283" s="84" t="n"/>
      <c r="E283" s="79" t="n"/>
      <c r="F283" s="78" t="n"/>
      <c r="G283" s="85">
        <f>IF(C283="","",IF(D283="","UNDECIDED",IF(F283="","NO EVIDENCE","")))</f>
        <v/>
      </c>
    </row>
    <row r="284" ht="33.75" customHeight="1" s="41">
      <c r="A284" s="86" t="n"/>
      <c r="B284" s="86" t="n"/>
      <c r="C284" s="80" t="n"/>
      <c r="D284" s="86" t="n"/>
      <c r="E284" s="81" t="n"/>
      <c r="F284" s="80" t="n"/>
      <c r="G284" s="85">
        <f>IF(C284="","",IF(D284="","UNDECIDED",IF(F284="","NO EVIDENCE","")))</f>
        <v/>
      </c>
    </row>
    <row r="285" ht="33.75" customHeight="1" s="41">
      <c r="A285" s="84" t="n"/>
      <c r="B285" s="84" t="n"/>
      <c r="C285" s="78" t="n"/>
      <c r="D285" s="84" t="n"/>
      <c r="E285" s="79" t="n"/>
      <c r="F285" s="78" t="n"/>
      <c r="G285" s="85">
        <f>IF(C285="","",IF(D285="","UNDECIDED",IF(F285="","NO EVIDENCE","")))</f>
        <v/>
      </c>
    </row>
    <row r="286" ht="33.75" customHeight="1" s="41">
      <c r="A286" s="86" t="n"/>
      <c r="B286" s="86" t="n"/>
      <c r="C286" s="80" t="n"/>
      <c r="D286" s="86" t="n"/>
      <c r="E286" s="81" t="n"/>
      <c r="F286" s="80" t="n"/>
      <c r="G286" s="85">
        <f>IF(C286="","",IF(D286="","UNDECIDED",IF(F286="","NO EVIDENCE","")))</f>
        <v/>
      </c>
    </row>
    <row r="287" ht="33.75" customHeight="1" s="41">
      <c r="A287" s="84" t="n"/>
      <c r="B287" s="84" t="n"/>
      <c r="C287" s="78" t="n"/>
      <c r="D287" s="84" t="n"/>
      <c r="E287" s="79" t="n"/>
      <c r="F287" s="78" t="n"/>
      <c r="G287" s="85">
        <f>IF(C287="","",IF(D287="","UNDECIDED",IF(F287="","NO EVIDENCE","")))</f>
        <v/>
      </c>
    </row>
    <row r="288" ht="33.75" customHeight="1" s="41">
      <c r="A288" s="86" t="n"/>
      <c r="B288" s="86" t="n"/>
      <c r="C288" s="80" t="n"/>
      <c r="D288" s="86" t="n"/>
      <c r="E288" s="81" t="n"/>
      <c r="F288" s="80" t="n"/>
      <c r="G288" s="85">
        <f>IF(C288="","",IF(D288="","UNDECIDED",IF(F288="","NO EVIDENCE","")))</f>
        <v/>
      </c>
    </row>
    <row r="289" ht="33.75" customHeight="1" s="41">
      <c r="A289" s="84" t="n"/>
      <c r="B289" s="84" t="n"/>
      <c r="C289" s="78" t="n"/>
      <c r="D289" s="84" t="n"/>
      <c r="E289" s="79" t="n"/>
      <c r="F289" s="78" t="n"/>
      <c r="G289" s="85">
        <f>IF(C289="","",IF(D289="","UNDECIDED",IF(F289="","NO EVIDENCE","")))</f>
        <v/>
      </c>
    </row>
    <row r="290" ht="33.75" customHeight="1" s="41">
      <c r="A290" s="86" t="n"/>
      <c r="B290" s="86" t="n"/>
      <c r="C290" s="80" t="n"/>
      <c r="D290" s="86" t="n"/>
      <c r="E290" s="81" t="n"/>
      <c r="F290" s="80" t="n"/>
      <c r="G290" s="85">
        <f>IF(C290="","",IF(D290="","UNDECIDED",IF(F290="","NO EVIDENCE","")))</f>
        <v/>
      </c>
    </row>
    <row r="291" ht="33.75" customHeight="1" s="41">
      <c r="A291" s="84" t="n"/>
      <c r="B291" s="84" t="n"/>
      <c r="C291" s="78" t="n"/>
      <c r="D291" s="84" t="n"/>
      <c r="E291" s="79" t="n"/>
      <c r="F291" s="78" t="n"/>
      <c r="G291" s="85">
        <f>IF(C291="","",IF(D291="","UNDECIDED",IF(F291="","NO EVIDENCE","")))</f>
        <v/>
      </c>
    </row>
    <row r="292" ht="33.75" customHeight="1" s="41">
      <c r="A292" s="86" t="n"/>
      <c r="B292" s="86" t="n"/>
      <c r="C292" s="80" t="n"/>
      <c r="D292" s="86" t="n"/>
      <c r="E292" s="81" t="n"/>
      <c r="F292" s="80" t="n"/>
      <c r="G292" s="85">
        <f>IF(C292="","",IF(D292="","UNDECIDED",IF(F292="","NO EVIDENCE","")))</f>
        <v/>
      </c>
    </row>
    <row r="293" ht="33.75" customHeight="1" s="41">
      <c r="A293" s="84" t="n"/>
      <c r="B293" s="84" t="n"/>
      <c r="C293" s="78" t="n"/>
      <c r="D293" s="84" t="n"/>
      <c r="E293" s="79" t="n"/>
      <c r="F293" s="78" t="n"/>
      <c r="G293" s="85">
        <f>IF(C293="","",IF(D293="","UNDECIDED",IF(F293="","NO EVIDENCE","")))</f>
        <v/>
      </c>
    </row>
    <row r="294" ht="33.75" customHeight="1" s="41">
      <c r="A294" s="86" t="n"/>
      <c r="B294" s="86" t="n"/>
      <c r="C294" s="80" t="n"/>
      <c r="D294" s="86" t="n"/>
      <c r="E294" s="81" t="n"/>
      <c r="F294" s="80" t="n"/>
      <c r="G294" s="85">
        <f>IF(C294="","",IF(D294="","UNDECIDED",IF(F294="","NO EVIDENCE","")))</f>
        <v/>
      </c>
    </row>
    <row r="295" ht="33.75" customHeight="1" s="41">
      <c r="A295" s="84" t="n"/>
      <c r="B295" s="84" t="n"/>
      <c r="C295" s="78" t="n"/>
      <c r="D295" s="84" t="n"/>
      <c r="E295" s="79" t="n"/>
      <c r="F295" s="78" t="n"/>
      <c r="G295" s="85">
        <f>IF(C295="","",IF(D295="","UNDECIDED",IF(F295="","NO EVIDENCE","")))</f>
        <v/>
      </c>
    </row>
    <row r="296" ht="33.75" customHeight="1" s="41">
      <c r="A296" s="86" t="n"/>
      <c r="B296" s="86" t="n"/>
      <c r="C296" s="80" t="n"/>
      <c r="D296" s="86" t="n"/>
      <c r="E296" s="81" t="n"/>
      <c r="F296" s="80" t="n"/>
      <c r="G296" s="85">
        <f>IF(C296="","",IF(D296="","UNDECIDED",IF(F296="","NO EVIDENCE","")))</f>
        <v/>
      </c>
    </row>
    <row r="297" ht="33.75" customHeight="1" s="41">
      <c r="A297" s="84" t="n"/>
      <c r="B297" s="84" t="n"/>
      <c r="C297" s="78" t="n"/>
      <c r="D297" s="84" t="n"/>
      <c r="E297" s="79" t="n"/>
      <c r="F297" s="78" t="n"/>
      <c r="G297" s="85">
        <f>IF(C297="","",IF(D297="","UNDECIDED",IF(F297="","NO EVIDENCE","")))</f>
        <v/>
      </c>
    </row>
    <row r="298" ht="33.75" customHeight="1" s="41">
      <c r="A298" s="86" t="n"/>
      <c r="B298" s="86" t="n"/>
      <c r="C298" s="80" t="n"/>
      <c r="D298" s="86" t="n"/>
      <c r="E298" s="81" t="n"/>
      <c r="F298" s="80" t="n"/>
      <c r="G298" s="85">
        <f>IF(C298="","",IF(D298="","UNDECIDED",IF(F298="","NO EVIDENCE","")))</f>
        <v/>
      </c>
    </row>
    <row r="299" ht="33.75" customHeight="1" s="41">
      <c r="A299" s="84" t="n"/>
      <c r="B299" s="84" t="n"/>
      <c r="C299" s="78" t="n"/>
      <c r="D299" s="84" t="n"/>
      <c r="E299" s="79" t="n"/>
      <c r="F299" s="78" t="n"/>
      <c r="G299" s="85">
        <f>IF(C299="","",IF(D299="","UNDECIDED",IF(F299="","NO EVIDENCE","")))</f>
        <v/>
      </c>
    </row>
    <row r="300" ht="33.75" customHeight="1" s="41">
      <c r="A300" s="86" t="n"/>
      <c r="B300" s="86" t="n"/>
      <c r="C300" s="80" t="n"/>
      <c r="D300" s="86" t="n"/>
      <c r="E300" s="81" t="n"/>
      <c r="F300" s="80" t="n"/>
      <c r="G300" s="85">
        <f>IF(C300="","",IF(D300="","UNDECIDED",IF(F300="","NO EVIDENCE","")))</f>
        <v/>
      </c>
    </row>
    <row r="301" ht="33.75" customHeight="1" s="41">
      <c r="A301" s="84" t="n"/>
      <c r="B301" s="84" t="n"/>
      <c r="C301" s="78" t="n"/>
      <c r="D301" s="84" t="n"/>
      <c r="E301" s="79" t="n"/>
      <c r="F301" s="78" t="n"/>
      <c r="G301" s="85">
        <f>IF(C301="","",IF(D301="","UNDECIDED",IF(F301="","NO EVIDENCE","")))</f>
        <v/>
      </c>
    </row>
    <row r="302" ht="33.75" customHeight="1" s="41">
      <c r="A302" s="86" t="n"/>
      <c r="B302" s="86" t="n"/>
      <c r="C302" s="80" t="n"/>
      <c r="D302" s="86" t="n"/>
      <c r="E302" s="81" t="n"/>
      <c r="F302" s="80" t="n"/>
      <c r="G302" s="85">
        <f>IF(C302="","",IF(D302="","UNDECIDED",IF(F302="","NO EVIDENCE","")))</f>
        <v/>
      </c>
    </row>
    <row r="303" ht="33.75" customHeight="1" s="41">
      <c r="A303" s="84" t="n"/>
      <c r="B303" s="84" t="n"/>
      <c r="C303" s="78" t="n"/>
      <c r="D303" s="84" t="n"/>
      <c r="E303" s="79" t="n"/>
      <c r="F303" s="78" t="n"/>
      <c r="G303" s="85">
        <f>IF(C303="","",IF(D303="","UNDECIDED",IF(F303="","NO EVIDENCE","")))</f>
        <v/>
      </c>
    </row>
    <row r="304" ht="33.75" customHeight="1" s="41">
      <c r="A304" s="86" t="n"/>
      <c r="B304" s="86" t="n"/>
      <c r="C304" s="80" t="n"/>
      <c r="D304" s="86" t="n"/>
      <c r="E304" s="81" t="n"/>
      <c r="F304" s="80" t="n"/>
      <c r="G304" s="85">
        <f>IF(C304="","",IF(D304="","UNDECIDED",IF(F304="","NO EVIDENCE","")))</f>
        <v/>
      </c>
    </row>
    <row r="305" ht="15.75" customHeight="1" s="41">
      <c r="A305" s="82" t="inlineStr">
        <is>
          <t>END OF FORM—rows below this line are not included in any calculation</t>
        </is>
      </c>
    </row>
  </sheetData>
  <sheetProtection selectLockedCells="0" selectUnlockedCells="0" sheet="1" objects="0" insertRows="1" insertHyperlinks="1" autoFilter="1" scenarios="0" formatColumns="1" deleteColumns="1" insertColumns="1" pivotTables="1" deleteRows="1" formatCells="1" formatRows="1" sort="1"/>
  <autoFilter ref="A4:G304"/>
  <mergeCells count="3">
    <mergeCell ref="A305:G305"/>
    <mergeCell ref="A2:G2"/>
    <mergeCell ref="A1:G1"/>
  </mergeCells>
  <conditionalFormatting sqref="G5:G304">
    <cfRule type="expression" rank="0" priority="2" equalAverage="0" aboveAverage="0" dxfId="8" text="" percent="0" bottom="0">
      <formula>$G5&lt;&gt;""</formula>
    </cfRule>
  </conditionalFormatting>
  <conditionalFormatting sqref="D5:D304">
    <cfRule type="expression" rank="0" priority="3" equalAverage="0" aboveAverage="0" dxfId="5" text="" percent="0" bottom="0">
      <formula>$D5="kept"</formula>
    </cfRule>
  </conditionalFormatting>
  <dataValidations count="1">
    <dataValidation sqref="D5:D304" showDropDown="0" showInputMessage="0" showErrorMessage="1" allowBlank="1" type="list" errorStyle="stop" operator="between">
      <formula1>"killed,kept"</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0"/>
  </sheetPr>
  <dimension ref="A1:D6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71" min="1" max="1"/>
    <col width="56" customWidth="1" style="71" min="2" max="2"/>
    <col width="16" customWidth="1" style="71" min="3" max="3"/>
    <col width="20" customWidth="1" style="71" min="4" max="4"/>
  </cols>
  <sheetData>
    <row r="1" ht="25.5" customHeight="1" s="41">
      <c r="A1" s="72" t="inlineStr">
        <is>
          <t>CONTAINMENT RECORD</t>
        </is>
      </c>
    </row>
    <row r="2" ht="15.75" customHeight="1" s="41">
      <c r="A2" s="73" t="inlineStr">
        <is>
          <t>An expiry date, not a review date. Containment without one becomes your process.</t>
        </is>
      </c>
    </row>
    <row r="3"/>
    <row r="4" ht="30" customHeight="1" s="41">
      <c r="A4" s="77" t="inlineStr">
        <is>
          <t>Investigation</t>
        </is>
      </c>
      <c r="B4" s="77" t="inlineStr">
        <is>
          <t>What is contained, and quantity</t>
        </is>
      </c>
      <c r="C4" s="77" t="inlineStr">
        <is>
          <t>Expiry date</t>
        </is>
      </c>
      <c r="D4" s="77" t="inlineStr">
        <is>
          <t>Status</t>
        </is>
      </c>
    </row>
    <row r="5" ht="31.5" customHeight="1" s="41">
      <c r="A5" s="84" t="n"/>
      <c r="B5" s="78" t="n"/>
      <c r="C5" s="79" t="n"/>
      <c r="D5" s="87">
        <f>IF(NOT(ISNUMBER(C5)),"",IF(C5&lt;TODAY(),"EXPIRED—STOP OR EXTEND",IF(C5&lt;TODAY()+14,"EXPIRES SOON","RUNNING")))</f>
        <v/>
      </c>
    </row>
    <row r="6" ht="31.5" customHeight="1" s="41">
      <c r="A6" s="86" t="n"/>
      <c r="B6" s="80" t="n"/>
      <c r="C6" s="81" t="n"/>
      <c r="D6" s="87">
        <f>IF(NOT(ISNUMBER(C6)),"",IF(C6&lt;TODAY(),"EXPIRED—STOP OR EXTEND",IF(C6&lt;TODAY()+14,"EXPIRES SOON","RUNNING")))</f>
        <v/>
      </c>
    </row>
    <row r="7" ht="31.5" customHeight="1" s="41">
      <c r="A7" s="84" t="n"/>
      <c r="B7" s="78" t="n"/>
      <c r="C7" s="79" t="n"/>
      <c r="D7" s="87">
        <f>IF(NOT(ISNUMBER(C7)),"",IF(C7&lt;TODAY(),"EXPIRED—STOP OR EXTEND",IF(C7&lt;TODAY()+14,"EXPIRES SOON","RUNNING")))</f>
        <v/>
      </c>
    </row>
    <row r="8" ht="31.5" customHeight="1" s="41">
      <c r="A8" s="86" t="n"/>
      <c r="B8" s="80" t="n"/>
      <c r="C8" s="81" t="n"/>
      <c r="D8" s="87">
        <f>IF(NOT(ISNUMBER(C8)),"",IF(C8&lt;TODAY(),"EXPIRED—STOP OR EXTEND",IF(C8&lt;TODAY()+14,"EXPIRES SOON","RUNNING")))</f>
        <v/>
      </c>
    </row>
    <row r="9" ht="31.5" customHeight="1" s="41">
      <c r="A9" s="84" t="n"/>
      <c r="B9" s="78" t="n"/>
      <c r="C9" s="79" t="n"/>
      <c r="D9" s="87">
        <f>IF(NOT(ISNUMBER(C9)),"",IF(C9&lt;TODAY(),"EXPIRED—STOP OR EXTEND",IF(C9&lt;TODAY()+14,"EXPIRES SOON","RUNNING")))</f>
        <v/>
      </c>
    </row>
    <row r="10" ht="31.5" customHeight="1" s="41">
      <c r="A10" s="86" t="n"/>
      <c r="B10" s="80" t="n"/>
      <c r="C10" s="81" t="n"/>
      <c r="D10" s="87">
        <f>IF(NOT(ISNUMBER(C10)),"",IF(C10&lt;TODAY(),"EXPIRED—STOP OR EXTEND",IF(C10&lt;TODAY()+14,"EXPIRES SOON","RUNNING")))</f>
        <v/>
      </c>
    </row>
    <row r="11" ht="31.5" customHeight="1" s="41">
      <c r="A11" s="84" t="n"/>
      <c r="B11" s="78" t="n"/>
      <c r="C11" s="79" t="n"/>
      <c r="D11" s="87">
        <f>IF(NOT(ISNUMBER(C11)),"",IF(C11&lt;TODAY(),"EXPIRED—STOP OR EXTEND",IF(C11&lt;TODAY()+14,"EXPIRES SOON","RUNNING")))</f>
        <v/>
      </c>
    </row>
    <row r="12" ht="31.5" customHeight="1" s="41">
      <c r="A12" s="86" t="n"/>
      <c r="B12" s="80" t="n"/>
      <c r="C12" s="81" t="n"/>
      <c r="D12" s="87">
        <f>IF(NOT(ISNUMBER(C12)),"",IF(C12&lt;TODAY(),"EXPIRED—STOP OR EXTEND",IF(C12&lt;TODAY()+14,"EXPIRES SOON","RUNNING")))</f>
        <v/>
      </c>
    </row>
    <row r="13" ht="31.5" customHeight="1" s="41">
      <c r="A13" s="84" t="n"/>
      <c r="B13" s="78" t="n"/>
      <c r="C13" s="79" t="n"/>
      <c r="D13" s="87">
        <f>IF(NOT(ISNUMBER(C13)),"",IF(C13&lt;TODAY(),"EXPIRED—STOP OR EXTEND",IF(C13&lt;TODAY()+14,"EXPIRES SOON","RUNNING")))</f>
        <v/>
      </c>
    </row>
    <row r="14" ht="31.5" customHeight="1" s="41">
      <c r="A14" s="86" t="n"/>
      <c r="B14" s="80" t="n"/>
      <c r="C14" s="81" t="n"/>
      <c r="D14" s="87">
        <f>IF(NOT(ISNUMBER(C14)),"",IF(C14&lt;TODAY(),"EXPIRED—STOP OR EXTEND",IF(C14&lt;TODAY()+14,"EXPIRES SOON","RUNNING")))</f>
        <v/>
      </c>
    </row>
    <row r="15" ht="31.5" customHeight="1" s="41">
      <c r="A15" s="84" t="n"/>
      <c r="B15" s="78" t="n"/>
      <c r="C15" s="79" t="n"/>
      <c r="D15" s="87">
        <f>IF(NOT(ISNUMBER(C15)),"",IF(C15&lt;TODAY(),"EXPIRED—STOP OR EXTEND",IF(C15&lt;TODAY()+14,"EXPIRES SOON","RUNNING")))</f>
        <v/>
      </c>
    </row>
    <row r="16" ht="31.5" customHeight="1" s="41">
      <c r="A16" s="86" t="n"/>
      <c r="B16" s="80" t="n"/>
      <c r="C16" s="81" t="n"/>
      <c r="D16" s="87">
        <f>IF(NOT(ISNUMBER(C16)),"",IF(C16&lt;TODAY(),"EXPIRED—STOP OR EXTEND",IF(C16&lt;TODAY()+14,"EXPIRES SOON","RUNNING")))</f>
        <v/>
      </c>
    </row>
    <row r="17" ht="31.5" customHeight="1" s="41">
      <c r="A17" s="84" t="n"/>
      <c r="B17" s="78" t="n"/>
      <c r="C17" s="79" t="n"/>
      <c r="D17" s="87">
        <f>IF(NOT(ISNUMBER(C17)),"",IF(C17&lt;TODAY(),"EXPIRED—STOP OR EXTEND",IF(C17&lt;TODAY()+14,"EXPIRES SOON","RUNNING")))</f>
        <v/>
      </c>
    </row>
    <row r="18" ht="31.5" customHeight="1" s="41">
      <c r="A18" s="86" t="n"/>
      <c r="B18" s="80" t="n"/>
      <c r="C18" s="81" t="n"/>
      <c r="D18" s="87">
        <f>IF(NOT(ISNUMBER(C18)),"",IF(C18&lt;TODAY(),"EXPIRED—STOP OR EXTEND",IF(C18&lt;TODAY()+14,"EXPIRES SOON","RUNNING")))</f>
        <v/>
      </c>
    </row>
    <row r="19" ht="31.5" customHeight="1" s="41">
      <c r="A19" s="84" t="n"/>
      <c r="B19" s="78" t="n"/>
      <c r="C19" s="79" t="n"/>
      <c r="D19" s="87">
        <f>IF(NOT(ISNUMBER(C19)),"",IF(C19&lt;TODAY(),"EXPIRED—STOP OR EXTEND",IF(C19&lt;TODAY()+14,"EXPIRES SOON","RUNNING")))</f>
        <v/>
      </c>
    </row>
    <row r="20" ht="31.5" customHeight="1" s="41">
      <c r="A20" s="86" t="n"/>
      <c r="B20" s="80" t="n"/>
      <c r="C20" s="81" t="n"/>
      <c r="D20" s="87">
        <f>IF(NOT(ISNUMBER(C20)),"",IF(C20&lt;TODAY(),"EXPIRED—STOP OR EXTEND",IF(C20&lt;TODAY()+14,"EXPIRES SOON","RUNNING")))</f>
        <v/>
      </c>
    </row>
    <row r="21" ht="31.5" customHeight="1" s="41">
      <c r="A21" s="84" t="n"/>
      <c r="B21" s="78" t="n"/>
      <c r="C21" s="79" t="n"/>
      <c r="D21" s="87">
        <f>IF(NOT(ISNUMBER(C21)),"",IF(C21&lt;TODAY(),"EXPIRED—STOP OR EXTEND",IF(C21&lt;TODAY()+14,"EXPIRES SOON","RUNNING")))</f>
        <v/>
      </c>
    </row>
    <row r="22" ht="31.5" customHeight="1" s="41">
      <c r="A22" s="86" t="n"/>
      <c r="B22" s="80" t="n"/>
      <c r="C22" s="81" t="n"/>
      <c r="D22" s="87">
        <f>IF(NOT(ISNUMBER(C22)),"",IF(C22&lt;TODAY(),"EXPIRED—STOP OR EXTEND",IF(C22&lt;TODAY()+14,"EXPIRES SOON","RUNNING")))</f>
        <v/>
      </c>
    </row>
    <row r="23" ht="31.5" customHeight="1" s="41">
      <c r="A23" s="84" t="n"/>
      <c r="B23" s="78" t="n"/>
      <c r="C23" s="79" t="n"/>
      <c r="D23" s="87">
        <f>IF(NOT(ISNUMBER(C23)),"",IF(C23&lt;TODAY(),"EXPIRED—STOP OR EXTEND",IF(C23&lt;TODAY()+14,"EXPIRES SOON","RUNNING")))</f>
        <v/>
      </c>
    </row>
    <row r="24" ht="31.5" customHeight="1" s="41">
      <c r="A24" s="86" t="n"/>
      <c r="B24" s="80" t="n"/>
      <c r="C24" s="81" t="n"/>
      <c r="D24" s="87">
        <f>IF(NOT(ISNUMBER(C24)),"",IF(C24&lt;TODAY(),"EXPIRED—STOP OR EXTEND",IF(C24&lt;TODAY()+14,"EXPIRES SOON","RUNNING")))</f>
        <v/>
      </c>
    </row>
    <row r="25" ht="31.5" customHeight="1" s="41">
      <c r="A25" s="84" t="n"/>
      <c r="B25" s="78" t="n"/>
      <c r="C25" s="79" t="n"/>
      <c r="D25" s="87">
        <f>IF(NOT(ISNUMBER(C25)),"",IF(C25&lt;TODAY(),"EXPIRED—STOP OR EXTEND",IF(C25&lt;TODAY()+14,"EXPIRES SOON","RUNNING")))</f>
        <v/>
      </c>
    </row>
    <row r="26" ht="31.5" customHeight="1" s="41">
      <c r="A26" s="86" t="n"/>
      <c r="B26" s="80" t="n"/>
      <c r="C26" s="81" t="n"/>
      <c r="D26" s="87">
        <f>IF(NOT(ISNUMBER(C26)),"",IF(C26&lt;TODAY(),"EXPIRED—STOP OR EXTEND",IF(C26&lt;TODAY()+14,"EXPIRES SOON","RUNNING")))</f>
        <v/>
      </c>
    </row>
    <row r="27" ht="31.5" customHeight="1" s="41">
      <c r="A27" s="84" t="n"/>
      <c r="B27" s="78" t="n"/>
      <c r="C27" s="79" t="n"/>
      <c r="D27" s="87">
        <f>IF(NOT(ISNUMBER(C27)),"",IF(C27&lt;TODAY(),"EXPIRED—STOP OR EXTEND",IF(C27&lt;TODAY()+14,"EXPIRES SOON","RUNNING")))</f>
        <v/>
      </c>
    </row>
    <row r="28" ht="31.5" customHeight="1" s="41">
      <c r="A28" s="86" t="n"/>
      <c r="B28" s="80" t="n"/>
      <c r="C28" s="81" t="n"/>
      <c r="D28" s="87">
        <f>IF(NOT(ISNUMBER(C28)),"",IF(C28&lt;TODAY(),"EXPIRED—STOP OR EXTEND",IF(C28&lt;TODAY()+14,"EXPIRES SOON","RUNNING")))</f>
        <v/>
      </c>
    </row>
    <row r="29" ht="31.5" customHeight="1" s="41">
      <c r="A29" s="84" t="n"/>
      <c r="B29" s="78" t="n"/>
      <c r="C29" s="79" t="n"/>
      <c r="D29" s="87">
        <f>IF(NOT(ISNUMBER(C29)),"",IF(C29&lt;TODAY(),"EXPIRED—STOP OR EXTEND",IF(C29&lt;TODAY()+14,"EXPIRES SOON","RUNNING")))</f>
        <v/>
      </c>
    </row>
    <row r="30" ht="31.5" customHeight="1" s="41">
      <c r="A30" s="86" t="n"/>
      <c r="B30" s="80" t="n"/>
      <c r="C30" s="81" t="n"/>
      <c r="D30" s="87">
        <f>IF(NOT(ISNUMBER(C30)),"",IF(C30&lt;TODAY(),"EXPIRED—STOP OR EXTEND",IF(C30&lt;TODAY()+14,"EXPIRES SOON","RUNNING")))</f>
        <v/>
      </c>
    </row>
    <row r="31" ht="31.5" customHeight="1" s="41">
      <c r="A31" s="84" t="n"/>
      <c r="B31" s="78" t="n"/>
      <c r="C31" s="79" t="n"/>
      <c r="D31" s="87">
        <f>IF(NOT(ISNUMBER(C31)),"",IF(C31&lt;TODAY(),"EXPIRED—STOP OR EXTEND",IF(C31&lt;TODAY()+14,"EXPIRES SOON","RUNNING")))</f>
        <v/>
      </c>
    </row>
    <row r="32" ht="31.5" customHeight="1" s="41">
      <c r="A32" s="86" t="n"/>
      <c r="B32" s="80" t="n"/>
      <c r="C32" s="81" t="n"/>
      <c r="D32" s="87">
        <f>IF(NOT(ISNUMBER(C32)),"",IF(C32&lt;TODAY(),"EXPIRED—STOP OR EXTEND",IF(C32&lt;TODAY()+14,"EXPIRES SOON","RUNNING")))</f>
        <v/>
      </c>
    </row>
    <row r="33" ht="31.5" customHeight="1" s="41">
      <c r="A33" s="84" t="n"/>
      <c r="B33" s="78" t="n"/>
      <c r="C33" s="79" t="n"/>
      <c r="D33" s="87">
        <f>IF(NOT(ISNUMBER(C33)),"",IF(C33&lt;TODAY(),"EXPIRED—STOP OR EXTEND",IF(C33&lt;TODAY()+14,"EXPIRES SOON","RUNNING")))</f>
        <v/>
      </c>
    </row>
    <row r="34" ht="31.5" customHeight="1" s="41">
      <c r="A34" s="86" t="n"/>
      <c r="B34" s="80" t="n"/>
      <c r="C34" s="81" t="n"/>
      <c r="D34" s="87">
        <f>IF(NOT(ISNUMBER(C34)),"",IF(C34&lt;TODAY(),"EXPIRED—STOP OR EXTEND",IF(C34&lt;TODAY()+14,"EXPIRES SOON","RUNNING")))</f>
        <v/>
      </c>
    </row>
    <row r="35" ht="31.5" customHeight="1" s="41">
      <c r="A35" s="84" t="n"/>
      <c r="B35" s="78" t="n"/>
      <c r="C35" s="79" t="n"/>
      <c r="D35" s="87">
        <f>IF(NOT(ISNUMBER(C35)),"",IF(C35&lt;TODAY(),"EXPIRED—STOP OR EXTEND",IF(C35&lt;TODAY()+14,"EXPIRES SOON","RUNNING")))</f>
        <v/>
      </c>
    </row>
    <row r="36" ht="31.5" customHeight="1" s="41">
      <c r="A36" s="86" t="n"/>
      <c r="B36" s="80" t="n"/>
      <c r="C36" s="81" t="n"/>
      <c r="D36" s="87">
        <f>IF(NOT(ISNUMBER(C36)),"",IF(C36&lt;TODAY(),"EXPIRED—STOP OR EXTEND",IF(C36&lt;TODAY()+14,"EXPIRES SOON","RUNNING")))</f>
        <v/>
      </c>
    </row>
    <row r="37" ht="31.5" customHeight="1" s="41">
      <c r="A37" s="84" t="n"/>
      <c r="B37" s="78" t="n"/>
      <c r="C37" s="79" t="n"/>
      <c r="D37" s="87">
        <f>IF(NOT(ISNUMBER(C37)),"",IF(C37&lt;TODAY(),"EXPIRED—STOP OR EXTEND",IF(C37&lt;TODAY()+14,"EXPIRES SOON","RUNNING")))</f>
        <v/>
      </c>
    </row>
    <row r="38" ht="31.5" customHeight="1" s="41">
      <c r="A38" s="86" t="n"/>
      <c r="B38" s="80" t="n"/>
      <c r="C38" s="81" t="n"/>
      <c r="D38" s="87">
        <f>IF(NOT(ISNUMBER(C38)),"",IF(C38&lt;TODAY(),"EXPIRED—STOP OR EXTEND",IF(C38&lt;TODAY()+14,"EXPIRES SOON","RUNNING")))</f>
        <v/>
      </c>
    </row>
    <row r="39" ht="31.5" customHeight="1" s="41">
      <c r="A39" s="84" t="n"/>
      <c r="B39" s="78" t="n"/>
      <c r="C39" s="79" t="n"/>
      <c r="D39" s="87">
        <f>IF(NOT(ISNUMBER(C39)),"",IF(C39&lt;TODAY(),"EXPIRED—STOP OR EXTEND",IF(C39&lt;TODAY()+14,"EXPIRES SOON","RUNNING")))</f>
        <v/>
      </c>
    </row>
    <row r="40" ht="31.5" customHeight="1" s="41">
      <c r="A40" s="86" t="n"/>
      <c r="B40" s="80" t="n"/>
      <c r="C40" s="81" t="n"/>
      <c r="D40" s="87">
        <f>IF(NOT(ISNUMBER(C40)),"",IF(C40&lt;TODAY(),"EXPIRED—STOP OR EXTEND",IF(C40&lt;TODAY()+14,"EXPIRES SOON","RUNNING")))</f>
        <v/>
      </c>
    </row>
    <row r="41" ht="31.5" customHeight="1" s="41">
      <c r="A41" s="84" t="n"/>
      <c r="B41" s="78" t="n"/>
      <c r="C41" s="79" t="n"/>
      <c r="D41" s="87">
        <f>IF(NOT(ISNUMBER(C41)),"",IF(C41&lt;TODAY(),"EXPIRED—STOP OR EXTEND",IF(C41&lt;TODAY()+14,"EXPIRES SOON","RUNNING")))</f>
        <v/>
      </c>
    </row>
    <row r="42" ht="31.5" customHeight="1" s="41">
      <c r="A42" s="86" t="n"/>
      <c r="B42" s="80" t="n"/>
      <c r="C42" s="81" t="n"/>
      <c r="D42" s="87">
        <f>IF(NOT(ISNUMBER(C42)),"",IF(C42&lt;TODAY(),"EXPIRED—STOP OR EXTEND",IF(C42&lt;TODAY()+14,"EXPIRES SOON","RUNNING")))</f>
        <v/>
      </c>
    </row>
    <row r="43" ht="31.5" customHeight="1" s="41">
      <c r="A43" s="84" t="n"/>
      <c r="B43" s="78" t="n"/>
      <c r="C43" s="79" t="n"/>
      <c r="D43" s="87">
        <f>IF(NOT(ISNUMBER(C43)),"",IF(C43&lt;TODAY(),"EXPIRED—STOP OR EXTEND",IF(C43&lt;TODAY()+14,"EXPIRES SOON","RUNNING")))</f>
        <v/>
      </c>
    </row>
    <row r="44" ht="31.5" customHeight="1" s="41">
      <c r="A44" s="86" t="n"/>
      <c r="B44" s="80" t="n"/>
      <c r="C44" s="81" t="n"/>
      <c r="D44" s="87">
        <f>IF(NOT(ISNUMBER(C44)),"",IF(C44&lt;TODAY(),"EXPIRED—STOP OR EXTEND",IF(C44&lt;TODAY()+14,"EXPIRES SOON","RUNNING")))</f>
        <v/>
      </c>
    </row>
    <row r="45" ht="31.5" customHeight="1" s="41">
      <c r="A45" s="84" t="n"/>
      <c r="B45" s="78" t="n"/>
      <c r="C45" s="79" t="n"/>
      <c r="D45" s="87">
        <f>IF(NOT(ISNUMBER(C45)),"",IF(C45&lt;TODAY(),"EXPIRED—STOP OR EXTEND",IF(C45&lt;TODAY()+14,"EXPIRES SOON","RUNNING")))</f>
        <v/>
      </c>
    </row>
    <row r="46" ht="31.5" customHeight="1" s="41">
      <c r="A46" s="86" t="n"/>
      <c r="B46" s="80" t="n"/>
      <c r="C46" s="81" t="n"/>
      <c r="D46" s="87">
        <f>IF(NOT(ISNUMBER(C46)),"",IF(C46&lt;TODAY(),"EXPIRED—STOP OR EXTEND",IF(C46&lt;TODAY()+14,"EXPIRES SOON","RUNNING")))</f>
        <v/>
      </c>
    </row>
    <row r="47" ht="31.5" customHeight="1" s="41">
      <c r="A47" s="84" t="n"/>
      <c r="B47" s="78" t="n"/>
      <c r="C47" s="79" t="n"/>
      <c r="D47" s="87">
        <f>IF(NOT(ISNUMBER(C47)),"",IF(C47&lt;TODAY(),"EXPIRED—STOP OR EXTEND",IF(C47&lt;TODAY()+14,"EXPIRES SOON","RUNNING")))</f>
        <v/>
      </c>
    </row>
    <row r="48" ht="31.5" customHeight="1" s="41">
      <c r="A48" s="86" t="n"/>
      <c r="B48" s="80" t="n"/>
      <c r="C48" s="81" t="n"/>
      <c r="D48" s="87">
        <f>IF(NOT(ISNUMBER(C48)),"",IF(C48&lt;TODAY(),"EXPIRED—STOP OR EXTEND",IF(C48&lt;TODAY()+14,"EXPIRES SOON","RUNNING")))</f>
        <v/>
      </c>
    </row>
    <row r="49" ht="31.5" customHeight="1" s="41">
      <c r="A49" s="84" t="n"/>
      <c r="B49" s="78" t="n"/>
      <c r="C49" s="79" t="n"/>
      <c r="D49" s="87">
        <f>IF(NOT(ISNUMBER(C49)),"",IF(C49&lt;TODAY(),"EXPIRED—STOP OR EXTEND",IF(C49&lt;TODAY()+14,"EXPIRES SOON","RUNNING")))</f>
        <v/>
      </c>
    </row>
    <row r="50" ht="31.5" customHeight="1" s="41">
      <c r="A50" s="86" t="n"/>
      <c r="B50" s="80" t="n"/>
      <c r="C50" s="81" t="n"/>
      <c r="D50" s="87">
        <f>IF(NOT(ISNUMBER(C50)),"",IF(C50&lt;TODAY(),"EXPIRED—STOP OR EXTEND",IF(C50&lt;TODAY()+14,"EXPIRES SOON","RUNNING")))</f>
        <v/>
      </c>
    </row>
    <row r="51" ht="31.5" customHeight="1" s="41">
      <c r="A51" s="84" t="n"/>
      <c r="B51" s="78" t="n"/>
      <c r="C51" s="79" t="n"/>
      <c r="D51" s="87">
        <f>IF(NOT(ISNUMBER(C51)),"",IF(C51&lt;TODAY(),"EXPIRED—STOP OR EXTEND",IF(C51&lt;TODAY()+14,"EXPIRES SOON","RUNNING")))</f>
        <v/>
      </c>
    </row>
    <row r="52" ht="31.5" customHeight="1" s="41">
      <c r="A52" s="86" t="n"/>
      <c r="B52" s="80" t="n"/>
      <c r="C52" s="81" t="n"/>
      <c r="D52" s="87">
        <f>IF(NOT(ISNUMBER(C52)),"",IF(C52&lt;TODAY(),"EXPIRED—STOP OR EXTEND",IF(C52&lt;TODAY()+14,"EXPIRES SOON","RUNNING")))</f>
        <v/>
      </c>
    </row>
    <row r="53" ht="31.5" customHeight="1" s="41">
      <c r="A53" s="84" t="n"/>
      <c r="B53" s="78" t="n"/>
      <c r="C53" s="79" t="n"/>
      <c r="D53" s="87">
        <f>IF(NOT(ISNUMBER(C53)),"",IF(C53&lt;TODAY(),"EXPIRED—STOP OR EXTEND",IF(C53&lt;TODAY()+14,"EXPIRES SOON","RUNNING")))</f>
        <v/>
      </c>
    </row>
    <row r="54" ht="31.5" customHeight="1" s="41">
      <c r="A54" s="86" t="n"/>
      <c r="B54" s="80" t="n"/>
      <c r="C54" s="81" t="n"/>
      <c r="D54" s="87">
        <f>IF(NOT(ISNUMBER(C54)),"",IF(C54&lt;TODAY(),"EXPIRED—STOP OR EXTEND",IF(C54&lt;TODAY()+14,"EXPIRES SOON","RUNNING")))</f>
        <v/>
      </c>
    </row>
    <row r="55" ht="31.5" customHeight="1" s="41">
      <c r="A55" s="84" t="n"/>
      <c r="B55" s="78" t="n"/>
      <c r="C55" s="79" t="n"/>
      <c r="D55" s="87">
        <f>IF(NOT(ISNUMBER(C55)),"",IF(C55&lt;TODAY(),"EXPIRED—STOP OR EXTEND",IF(C55&lt;TODAY()+14,"EXPIRES SOON","RUNNING")))</f>
        <v/>
      </c>
    </row>
    <row r="56" ht="31.5" customHeight="1" s="41">
      <c r="A56" s="86" t="n"/>
      <c r="B56" s="80" t="n"/>
      <c r="C56" s="81" t="n"/>
      <c r="D56" s="87">
        <f>IF(NOT(ISNUMBER(C56)),"",IF(C56&lt;TODAY(),"EXPIRED—STOP OR EXTEND",IF(C56&lt;TODAY()+14,"EXPIRES SOON","RUNNING")))</f>
        <v/>
      </c>
    </row>
    <row r="57" ht="31.5" customHeight="1" s="41">
      <c r="A57" s="84" t="n"/>
      <c r="B57" s="78" t="n"/>
      <c r="C57" s="79" t="n"/>
      <c r="D57" s="87">
        <f>IF(NOT(ISNUMBER(C57)),"",IF(C57&lt;TODAY(),"EXPIRED—STOP OR EXTEND",IF(C57&lt;TODAY()+14,"EXPIRES SOON","RUNNING")))</f>
        <v/>
      </c>
    </row>
    <row r="58" ht="31.5" customHeight="1" s="41">
      <c r="A58" s="86" t="n"/>
      <c r="B58" s="80" t="n"/>
      <c r="C58" s="81" t="n"/>
      <c r="D58" s="87">
        <f>IF(NOT(ISNUMBER(C58)),"",IF(C58&lt;TODAY(),"EXPIRED—STOP OR EXTEND",IF(C58&lt;TODAY()+14,"EXPIRES SOON","RUNNING")))</f>
        <v/>
      </c>
    </row>
    <row r="59" ht="31.5" customHeight="1" s="41">
      <c r="A59" s="84" t="n"/>
      <c r="B59" s="78" t="n"/>
      <c r="C59" s="79" t="n"/>
      <c r="D59" s="87">
        <f>IF(NOT(ISNUMBER(C59)),"",IF(C59&lt;TODAY(),"EXPIRED—STOP OR EXTEND",IF(C59&lt;TODAY()+14,"EXPIRES SOON","RUNNING")))</f>
        <v/>
      </c>
    </row>
    <row r="60" ht="31.5" customHeight="1" s="41">
      <c r="A60" s="86" t="n"/>
      <c r="B60" s="80" t="n"/>
      <c r="C60" s="81" t="n"/>
      <c r="D60" s="87">
        <f>IF(NOT(ISNUMBER(C60)),"",IF(C60&lt;TODAY(),"EXPIRED—STOP OR EXTEND",IF(C60&lt;TODAY()+14,"EXPIRES SOON","RUNNING")))</f>
        <v/>
      </c>
    </row>
    <row r="61" ht="31.5" customHeight="1" s="41">
      <c r="A61" s="84" t="n"/>
      <c r="B61" s="78" t="n"/>
      <c r="C61" s="79" t="n"/>
      <c r="D61" s="87">
        <f>IF(NOT(ISNUMBER(C61)),"",IF(C61&lt;TODAY(),"EXPIRED—STOP OR EXTEND",IF(C61&lt;TODAY()+14,"EXPIRES SOON","RUNNING")))</f>
        <v/>
      </c>
    </row>
    <row r="62" ht="31.5" customHeight="1" s="41">
      <c r="A62" s="86" t="n"/>
      <c r="B62" s="80" t="n"/>
      <c r="C62" s="81" t="n"/>
      <c r="D62" s="87">
        <f>IF(NOT(ISNUMBER(C62)),"",IF(C62&lt;TODAY(),"EXPIRED—STOP OR EXTEND",IF(C62&lt;TODAY()+14,"EXPIRES SOON","RUNNING")))</f>
        <v/>
      </c>
    </row>
    <row r="63" ht="31.5" customHeight="1" s="41">
      <c r="A63" s="84" t="n"/>
      <c r="B63" s="78" t="n"/>
      <c r="C63" s="79" t="n"/>
      <c r="D63" s="87">
        <f>IF(NOT(ISNUMBER(C63)),"",IF(C63&lt;TODAY(),"EXPIRED—STOP OR EXTEND",IF(C63&lt;TODAY()+14,"EXPIRES SOON","RUNNING")))</f>
        <v/>
      </c>
    </row>
    <row r="64" ht="31.5" customHeight="1" s="41">
      <c r="A64" s="86" t="n"/>
      <c r="B64" s="80" t="n"/>
      <c r="C64" s="81" t="n"/>
      <c r="D64" s="87">
        <f>IF(NOT(ISNUMBER(C64)),"",IF(C64&lt;TODAY(),"EXPIRED—STOP OR EXTEND",IF(C64&lt;TODAY()+14,"EXPIRES SOON","RUNNING")))</f>
        <v/>
      </c>
    </row>
    <row r="65" ht="15.75" customHeight="1" s="41">
      <c r="A65" s="82" t="inlineStr">
        <is>
          <t>END OF FORM—rows below this line are not included in any calculation</t>
        </is>
      </c>
    </row>
    <row r="66"/>
    <row r="67" ht="15" customHeight="1" s="41">
      <c r="A67" s="83" t="inlineStr">
        <is>
          <t>One hundred percent inspection introduced in an emergency and never withdrawn is the most expensive thing a quality system does, and it never appears as a decision anywhere. On the expiry date it stops, or somebody with authority extends it in writing with a reason.</t>
        </is>
      </c>
    </row>
    <row r="68" ht="15" customHeight="1" s="41"/>
  </sheetData>
  <sheetProtection selectLockedCells="0" selectUnlockedCells="0" sheet="1" objects="0" insertRows="1" insertHyperlinks="1" autoFilter="1" scenarios="0" formatColumns="1" deleteColumns="1" insertColumns="1" pivotTables="1" deleteRows="1" formatCells="1" formatRows="1" sort="1"/>
  <mergeCells count="4">
    <mergeCell ref="A67:D68"/>
    <mergeCell ref="A1:D1"/>
    <mergeCell ref="A65:D65"/>
    <mergeCell ref="A2:D2"/>
  </mergeCells>
  <conditionalFormatting sqref="D5:D64">
    <cfRule type="expression" rank="0" priority="2" equalAverage="0" aboveAverage="0" dxfId="8" text="" percent="0" bottom="0">
      <formula>LEFT($D5,7)="EXPIRED"</formula>
    </cfRule>
    <cfRule type="expression" rank="0" priority="3" equalAverage="0" aboveAverage="0" dxfId="5" text="" percent="0" bottom="0">
      <formula>$D5="EXPIRES SOON"</formula>
    </cfRule>
    <cfRule type="expression" rank="0" priority="4" equalAverage="0" aboveAverage="0" dxfId="4" text="" percent="0" bottom="0">
      <formula>$D5="RUNNING"</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H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71" min="1" max="1"/>
    <col width="17" customWidth="1" style="71" min="2" max="5"/>
    <col width="15" customWidth="1" style="71" min="6" max="8"/>
  </cols>
  <sheetData>
    <row r="1" ht="25.5" customHeight="1" s="41">
      <c r="A1" s="72" t="inlineStr">
        <is>
          <t>ATTRIBUTE MEASUREMENT STUDY</t>
        </is>
      </c>
    </row>
    <row r="2" ht="15.75" customHeight="1" s="41">
      <c r="A2" s="73" t="inlineStr">
        <is>
          <t>Ten parts, identifiers covered, two graders, two rounds each in different random orders.</t>
        </is>
      </c>
    </row>
    <row r="3"/>
    <row r="4" ht="30" customHeight="1" s="41">
      <c r="A4" s="77" t="inlineStr">
        <is>
          <t>Part</t>
        </is>
      </c>
      <c r="B4" s="77" t="inlineStr">
        <is>
          <t>Grader A · round 1</t>
        </is>
      </c>
      <c r="C4" s="77" t="inlineStr">
        <is>
          <t>Grader A · round 2</t>
        </is>
      </c>
      <c r="D4" s="77" t="inlineStr">
        <is>
          <t>Grader B · round 1</t>
        </is>
      </c>
      <c r="E4" s="77" t="inlineStr">
        <is>
          <t>Grader B · round 2</t>
        </is>
      </c>
      <c r="F4" s="77" t="inlineStr">
        <is>
          <t>A self-agrees</t>
        </is>
      </c>
      <c r="G4" s="77" t="inlineStr">
        <is>
          <t>B self-agrees</t>
        </is>
      </c>
      <c r="H4" s="77" t="inlineStr">
        <is>
          <t>Agreement</t>
        </is>
      </c>
    </row>
    <row r="5" ht="24" customHeight="1" s="41">
      <c r="A5" s="88" t="inlineStr">
        <is>
          <t>A</t>
        </is>
      </c>
      <c r="B5" s="84" t="n"/>
      <c r="C5" s="84" t="n"/>
      <c r="D5" s="84" t="n"/>
      <c r="E5" s="84" t="n"/>
      <c r="F5" s="89">
        <f>IF(OR(B5="",C5=""),"",IF(EXACT(B5,C5),"yes","NO"))</f>
        <v/>
      </c>
      <c r="G5" s="89">
        <f>IF(OR(D5="",E5=""),"",IF(EXACT(D5,E5),"yes","NO"))</f>
        <v/>
      </c>
      <c r="H5" s="89">
        <f>IF(OR(F5="",G5=""),"",IF(OR(F5="NO",G5="NO"),"grader disagrees with herself",IF(EXACT(B5,D5),"all agree","graders disagree")))</f>
        <v/>
      </c>
    </row>
    <row r="6" ht="24" customHeight="1" s="41">
      <c r="A6" s="88" t="inlineStr">
        <is>
          <t>B</t>
        </is>
      </c>
      <c r="B6" s="84" t="n"/>
      <c r="C6" s="84" t="n"/>
      <c r="D6" s="84" t="n"/>
      <c r="E6" s="84" t="n"/>
      <c r="F6" s="89">
        <f>IF(OR(B6="",C6=""),"",IF(EXACT(B6,C6),"yes","NO"))</f>
        <v/>
      </c>
      <c r="G6" s="89">
        <f>IF(OR(D6="",E6=""),"",IF(EXACT(D6,E6),"yes","NO"))</f>
        <v/>
      </c>
      <c r="H6" s="89">
        <f>IF(OR(F6="",G6=""),"",IF(OR(F6="NO",G6="NO"),"grader disagrees with herself",IF(EXACT(B6,D6),"all agree","graders disagree")))</f>
        <v/>
      </c>
    </row>
    <row r="7" ht="24" customHeight="1" s="41">
      <c r="A7" s="88" t="inlineStr">
        <is>
          <t>C</t>
        </is>
      </c>
      <c r="B7" s="84" t="n"/>
      <c r="C7" s="84" t="n"/>
      <c r="D7" s="84" t="n"/>
      <c r="E7" s="84" t="n"/>
      <c r="F7" s="89">
        <f>IF(OR(B7="",C7=""),"",IF(EXACT(B7,C7),"yes","NO"))</f>
        <v/>
      </c>
      <c r="G7" s="89">
        <f>IF(OR(D7="",E7=""),"",IF(EXACT(D7,E7),"yes","NO"))</f>
        <v/>
      </c>
      <c r="H7" s="89">
        <f>IF(OR(F7="",G7=""),"",IF(OR(F7="NO",G7="NO"),"grader disagrees with herself",IF(EXACT(B7,D7),"all agree","graders disagree")))</f>
        <v/>
      </c>
    </row>
    <row r="8" ht="24" customHeight="1" s="41">
      <c r="A8" s="88" t="inlineStr">
        <is>
          <t>D</t>
        </is>
      </c>
      <c r="B8" s="84" t="n"/>
      <c r="C8" s="84" t="n"/>
      <c r="D8" s="84" t="n"/>
      <c r="E8" s="84" t="n"/>
      <c r="F8" s="89">
        <f>IF(OR(B8="",C8=""),"",IF(EXACT(B8,C8),"yes","NO"))</f>
        <v/>
      </c>
      <c r="G8" s="89">
        <f>IF(OR(D8="",E8=""),"",IF(EXACT(D8,E8),"yes","NO"))</f>
        <v/>
      </c>
      <c r="H8" s="89">
        <f>IF(OR(F8="",G8=""),"",IF(OR(F8="NO",G8="NO"),"grader disagrees with herself",IF(EXACT(B8,D8),"all agree","graders disagree")))</f>
        <v/>
      </c>
    </row>
    <row r="9" ht="24" customHeight="1" s="41">
      <c r="A9" s="88" t="inlineStr">
        <is>
          <t>E</t>
        </is>
      </c>
      <c r="B9" s="84" t="n"/>
      <c r="C9" s="84" t="n"/>
      <c r="D9" s="84" t="n"/>
      <c r="E9" s="84" t="n"/>
      <c r="F9" s="89">
        <f>IF(OR(B9="",C9=""),"",IF(EXACT(B9,C9),"yes","NO"))</f>
        <v/>
      </c>
      <c r="G9" s="89">
        <f>IF(OR(D9="",E9=""),"",IF(EXACT(D9,E9),"yes","NO"))</f>
        <v/>
      </c>
      <c r="H9" s="89">
        <f>IF(OR(F9="",G9=""),"",IF(OR(F9="NO",G9="NO"),"grader disagrees with herself",IF(EXACT(B9,D9),"all agree","graders disagree")))</f>
        <v/>
      </c>
    </row>
    <row r="10" ht="24" customHeight="1" s="41">
      <c r="A10" s="88" t="inlineStr">
        <is>
          <t>F</t>
        </is>
      </c>
      <c r="B10" s="84" t="n"/>
      <c r="C10" s="84" t="n"/>
      <c r="D10" s="84" t="n"/>
      <c r="E10" s="84" t="n"/>
      <c r="F10" s="89">
        <f>IF(OR(B10="",C10=""),"",IF(EXACT(B10,C10),"yes","NO"))</f>
        <v/>
      </c>
      <c r="G10" s="89">
        <f>IF(OR(D10="",E10=""),"",IF(EXACT(D10,E10),"yes","NO"))</f>
        <v/>
      </c>
      <c r="H10" s="89">
        <f>IF(OR(F10="",G10=""),"",IF(OR(F10="NO",G10="NO"),"grader disagrees with herself",IF(EXACT(B10,D10),"all agree","graders disagree")))</f>
        <v/>
      </c>
    </row>
    <row r="11" ht="24" customHeight="1" s="41">
      <c r="A11" s="88" t="inlineStr">
        <is>
          <t>G</t>
        </is>
      </c>
      <c r="B11" s="84" t="n"/>
      <c r="C11" s="84" t="n"/>
      <c r="D11" s="84" t="n"/>
      <c r="E11" s="84" t="n"/>
      <c r="F11" s="89">
        <f>IF(OR(B11="",C11=""),"",IF(EXACT(B11,C11),"yes","NO"))</f>
        <v/>
      </c>
      <c r="G11" s="89">
        <f>IF(OR(D11="",E11=""),"",IF(EXACT(D11,E11),"yes","NO"))</f>
        <v/>
      </c>
      <c r="H11" s="89">
        <f>IF(OR(F11="",G11=""),"",IF(OR(F11="NO",G11="NO"),"grader disagrees with herself",IF(EXACT(B11,D11),"all agree","graders disagree")))</f>
        <v/>
      </c>
    </row>
    <row r="12" ht="24" customHeight="1" s="41">
      <c r="A12" s="88" t="inlineStr">
        <is>
          <t>H</t>
        </is>
      </c>
      <c r="B12" s="84" t="n"/>
      <c r="C12" s="84" t="n"/>
      <c r="D12" s="84" t="n"/>
      <c r="E12" s="84" t="n"/>
      <c r="F12" s="89">
        <f>IF(OR(B12="",C12=""),"",IF(EXACT(B12,C12),"yes","NO"))</f>
        <v/>
      </c>
      <c r="G12" s="89">
        <f>IF(OR(D12="",E12=""),"",IF(EXACT(D12,E12),"yes","NO"))</f>
        <v/>
      </c>
      <c r="H12" s="89">
        <f>IF(OR(F12="",G12=""),"",IF(OR(F12="NO",G12="NO"),"grader disagrees with herself",IF(EXACT(B12,D12),"all agree","graders disagree")))</f>
        <v/>
      </c>
    </row>
    <row r="13" ht="24" customHeight="1" s="41">
      <c r="A13" s="88" t="inlineStr">
        <is>
          <t>I</t>
        </is>
      </c>
      <c r="B13" s="84" t="n"/>
      <c r="C13" s="84" t="n"/>
      <c r="D13" s="84" t="n"/>
      <c r="E13" s="84" t="n"/>
      <c r="F13" s="89">
        <f>IF(OR(B13="",C13=""),"",IF(EXACT(B13,C13),"yes","NO"))</f>
        <v/>
      </c>
      <c r="G13" s="89">
        <f>IF(OR(D13="",E13=""),"",IF(EXACT(D13,E13),"yes","NO"))</f>
        <v/>
      </c>
      <c r="H13" s="89">
        <f>IF(OR(F13="",G13=""),"",IF(OR(F13="NO",G13="NO"),"grader disagrees with herself",IF(EXACT(B13,D13),"all agree","graders disagree")))</f>
        <v/>
      </c>
    </row>
    <row r="14" ht="24" customHeight="1" s="41">
      <c r="A14" s="88" t="inlineStr">
        <is>
          <t>J</t>
        </is>
      </c>
      <c r="B14" s="84" t="n"/>
      <c r="C14" s="84" t="n"/>
      <c r="D14" s="84" t="n"/>
      <c r="E14" s="84" t="n"/>
      <c r="F14" s="89">
        <f>IF(OR(B14="",C14=""),"",IF(EXACT(B14,C14),"yes","NO"))</f>
        <v/>
      </c>
      <c r="G14" s="89">
        <f>IF(OR(D14="",E14=""),"",IF(EXACT(D14,E14),"yes","NO"))</f>
        <v/>
      </c>
      <c r="H14" s="89">
        <f>IF(OR(F14="",G14=""),"",IF(OR(F14="NO",G14="NO"),"grader disagrees with herself",IF(EXACT(B14,D14),"all agree","graders disagree")))</f>
        <v/>
      </c>
    </row>
    <row r="15"/>
    <row r="16" ht="15" customHeight="1" s="41">
      <c r="A16" s="90" t="inlineStr">
        <is>
          <t>RESULT</t>
        </is>
      </c>
    </row>
    <row r="17" ht="33.75" customHeight="1" s="41">
      <c r="A17" s="91" t="inlineStr">
        <is>
          <t>Grader A agrees with herself</t>
        </is>
      </c>
      <c r="B17" s="92" t="n"/>
      <c r="C17" s="93">
        <f>IF(COUNTA(B5:E14)=0,"",COUNTIF(F5:F14,"yes")&amp;" of "&amp;SUMPRODUCT(--(F5:F14&lt;&gt;"")))</f>
        <v/>
      </c>
      <c r="D17" s="94" t="inlineStr">
        <is>
          <t>Repeatability. Below 9 of 10, a single reading cannot be relied on.</t>
        </is>
      </c>
    </row>
    <row r="18" ht="33.75" customHeight="1" s="41">
      <c r="A18" s="91" t="inlineStr">
        <is>
          <t>Grader B agrees with herself</t>
        </is>
      </c>
      <c r="B18" s="92" t="n"/>
      <c r="C18" s="93">
        <f>IF(COUNTA(B5:E14)=0,"",COUNTIF(G5:G14,"yes")&amp;" of "&amp;SUMPRODUCT(--(G5:G14&lt;&gt;"")))</f>
        <v/>
      </c>
      <c r="D18" s="94" t="inlineStr">
        <is>
          <t>Repeatability of the second grader. Both are rated, not one.</t>
        </is>
      </c>
    </row>
    <row r="19" ht="33.75" customHeight="1" s="41">
      <c r="A19" s="91" t="inlineStr">
        <is>
          <t>Graders agree with each other</t>
        </is>
      </c>
      <c r="B19" s="92" t="n"/>
      <c r="C19" s="93">
        <f>IF(COUNTA(B5:E14)=0,"",(SUMPRODUCT(--(H5:H14&lt;&gt;""))-COUNTIF(H5:H14,"graders disagree"))&amp;" of "&amp;SUMPRODUCT(--(H5:H14&lt;&gt;"")))</f>
        <v/>
      </c>
      <c r="D19" s="94" t="inlineStr">
        <is>
          <t>Reproducibility. Materially worse than self-agreement means the difference is a person.</t>
        </is>
      </c>
    </row>
    <row r="20" ht="33.75" customHeight="1" s="41">
      <c r="A20" s="91" t="inlineStr">
        <is>
          <t>Agreement with a reference</t>
        </is>
      </c>
      <c r="B20" s="92" t="n"/>
      <c r="C20" s="93" t="n"/>
      <c r="D20" s="94" t="inlineStr">
        <is>
          <t>If no reference standard exists, that is itself the finding.</t>
        </is>
      </c>
    </row>
  </sheetData>
  <sheetProtection selectLockedCells="0" selectUnlockedCells="0" sheet="1" objects="0" insertRows="1" insertHyperlinks="1" autoFilter="1" scenarios="0" formatColumns="1" deleteColumns="1" insertColumns="1" pivotTables="1" deleteRows="1" formatCells="1" formatRows="1" sort="1"/>
  <mergeCells count="10">
    <mergeCell ref="D18:G18"/>
    <mergeCell ref="A1:G1"/>
    <mergeCell ref="D17:G17"/>
    <mergeCell ref="A19:B19"/>
    <mergeCell ref="A2:G2"/>
    <mergeCell ref="D19:G19"/>
    <mergeCell ref="A20:B20"/>
    <mergeCell ref="D20:G20"/>
    <mergeCell ref="A17:B17"/>
    <mergeCell ref="A18:B18"/>
  </mergeCells>
  <conditionalFormatting sqref="F5:F14">
    <cfRule type="expression" rank="0" priority="2" equalAverage="0" aboveAverage="0" dxfId="8" text="" percent="0" bottom="0">
      <formula>$F5="NO"</formula>
    </cfRule>
    <cfRule type="expression" rank="0" priority="3" equalAverage="0" aboveAverage="0" dxfId="4" text="" percent="0" bottom="0">
      <formula>$F5="yes"</formula>
    </cfRule>
  </conditionalFormatting>
  <conditionalFormatting sqref="G5:G14">
    <cfRule type="expression" rank="0" priority="4" equalAverage="0" aboveAverage="0" dxfId="8" text="" percent="0" bottom="0">
      <formula>$G5="NO"</formula>
    </cfRule>
    <cfRule type="expression" rank="0" priority="5" equalAverage="0" aboveAverage="0" dxfId="4" text="" percent="0" bottom="0">
      <formula>$G5="yes"</formula>
    </cfRule>
  </conditionalFormatting>
  <dataValidations count="1">
    <dataValidation sqref="B5:E14" showDropDown="0" showInputMessage="0" showErrorMessage="1" allowBlank="1" type="list" errorStyle="stop" operator="between">
      <formula1>"pass,fail"</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0"/>
  </sheetPr>
  <dimension ref="A1:H6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9" customWidth="1" style="71" min="1" max="1"/>
    <col width="40" customWidth="1" style="71" min="2" max="2"/>
    <col width="34" customWidth="1" style="71" min="3" max="4"/>
    <col width="16" customWidth="1" style="71" min="5" max="6"/>
    <col width="17" customWidth="1" style="71" min="7" max="7"/>
    <col width="18" customWidth="1" style="71" min="8" max="8"/>
  </cols>
  <sheetData>
    <row r="1" ht="25.5" customHeight="1" s="41">
      <c r="A1" s="72" t="inlineStr">
        <is>
          <t>ROOT CAUSE AND CORRECTIVE ACTION</t>
        </is>
      </c>
    </row>
    <row r="2" ht="15.75" customHeight="1" s="41">
      <c r="A2" s="73" t="inlineStr">
        <is>
          <t>The verification period is calculated from the defect’s own recurrence history, not from the procedure.</t>
        </is>
      </c>
    </row>
    <row r="3"/>
    <row r="4" ht="30" customHeight="1" s="41">
      <c r="A4" s="77" t="inlineStr">
        <is>
          <t>Ref</t>
        </is>
      </c>
      <c r="B4" s="77" t="inlineStr">
        <is>
          <t>Root cause—what, when, why reasonable then, what changed</t>
        </is>
      </c>
      <c r="C4" s="77" t="inlineStr">
        <is>
          <t>How we know (comparison, negative case)</t>
        </is>
      </c>
      <c r="D4" s="77" t="inlineStr">
        <is>
          <t>Corrective action</t>
        </is>
      </c>
      <c r="E4" s="77" t="inlineStr">
        <is>
          <t>Level</t>
        </is>
      </c>
      <c r="F4" s="77" t="inlineStr">
        <is>
          <t>Longest previous gap (months)</t>
        </is>
      </c>
      <c r="G4" s="77" t="inlineStr">
        <is>
          <t>Minimum verification (months)</t>
        </is>
      </c>
      <c r="H4" s="77" t="inlineStr">
        <is>
          <t>Check</t>
        </is>
      </c>
    </row>
    <row r="5" ht="45.75" customHeight="1" s="41">
      <c r="A5" s="84" t="n"/>
      <c r="B5" s="78" t="n"/>
      <c r="C5" s="78" t="n"/>
      <c r="D5" s="78" t="n"/>
      <c r="E5" s="84" t="n"/>
      <c r="F5" s="84" t="n"/>
      <c r="G5" s="89">
        <f>IF(NOT(ISNUMBER(F5)),"",F5*2)</f>
        <v/>
      </c>
      <c r="H5" s="85">
        <f>IF(B5="","",IF(C5="","NO EVIDENCE LINE",IF(LEFT(E5,1)="5","LEVEL 5 ONLY","")))</f>
        <v/>
      </c>
    </row>
    <row r="6" ht="45.75" customHeight="1" s="41">
      <c r="A6" s="86" t="n"/>
      <c r="B6" s="80" t="n"/>
      <c r="C6" s="80" t="n"/>
      <c r="D6" s="80" t="n"/>
      <c r="E6" s="86" t="n"/>
      <c r="F6" s="86" t="n"/>
      <c r="G6" s="89">
        <f>IF(NOT(ISNUMBER(F6)),"",F6*2)</f>
        <v/>
      </c>
      <c r="H6" s="85">
        <f>IF(B6="","",IF(C6="","NO EVIDENCE LINE",IF(LEFT(E6,1)="5","LEVEL 5 ONLY","")))</f>
        <v/>
      </c>
    </row>
    <row r="7" ht="45.75" customHeight="1" s="41">
      <c r="A7" s="84" t="n"/>
      <c r="B7" s="78" t="n"/>
      <c r="C7" s="78" t="n"/>
      <c r="D7" s="78" t="n"/>
      <c r="E7" s="84" t="n"/>
      <c r="F7" s="84" t="n"/>
      <c r="G7" s="89">
        <f>IF(NOT(ISNUMBER(F7)),"",F7*2)</f>
        <v/>
      </c>
      <c r="H7" s="85">
        <f>IF(B7="","",IF(C7="","NO EVIDENCE LINE",IF(LEFT(E7,1)="5","LEVEL 5 ONLY","")))</f>
        <v/>
      </c>
    </row>
    <row r="8" ht="45.75" customHeight="1" s="41">
      <c r="A8" s="86" t="n"/>
      <c r="B8" s="80" t="n"/>
      <c r="C8" s="80" t="n"/>
      <c r="D8" s="80" t="n"/>
      <c r="E8" s="86" t="n"/>
      <c r="F8" s="86" t="n"/>
      <c r="G8" s="89">
        <f>IF(NOT(ISNUMBER(F8)),"",F8*2)</f>
        <v/>
      </c>
      <c r="H8" s="85">
        <f>IF(B8="","",IF(C8="","NO EVIDENCE LINE",IF(LEFT(E8,1)="5","LEVEL 5 ONLY","")))</f>
        <v/>
      </c>
    </row>
    <row r="9" ht="45.75" customHeight="1" s="41">
      <c r="A9" s="84" t="n"/>
      <c r="B9" s="78" t="n"/>
      <c r="C9" s="78" t="n"/>
      <c r="D9" s="78" t="n"/>
      <c r="E9" s="84" t="n"/>
      <c r="F9" s="84" t="n"/>
      <c r="G9" s="89">
        <f>IF(NOT(ISNUMBER(F9)),"",F9*2)</f>
        <v/>
      </c>
      <c r="H9" s="85">
        <f>IF(B9="","",IF(C9="","NO EVIDENCE LINE",IF(LEFT(E9,1)="5","LEVEL 5 ONLY","")))</f>
        <v/>
      </c>
    </row>
    <row r="10" ht="45.75" customHeight="1" s="41">
      <c r="A10" s="86" t="n"/>
      <c r="B10" s="80" t="n"/>
      <c r="C10" s="80" t="n"/>
      <c r="D10" s="80" t="n"/>
      <c r="E10" s="86" t="n"/>
      <c r="F10" s="86" t="n"/>
      <c r="G10" s="89">
        <f>IF(NOT(ISNUMBER(F10)),"",F10*2)</f>
        <v/>
      </c>
      <c r="H10" s="85">
        <f>IF(B10="","",IF(C10="","NO EVIDENCE LINE",IF(LEFT(E10,1)="5","LEVEL 5 ONLY","")))</f>
        <v/>
      </c>
    </row>
    <row r="11" ht="45.75" customHeight="1" s="41">
      <c r="A11" s="84" t="n"/>
      <c r="B11" s="78" t="n"/>
      <c r="C11" s="78" t="n"/>
      <c r="D11" s="78" t="n"/>
      <c r="E11" s="84" t="n"/>
      <c r="F11" s="84" t="n"/>
      <c r="G11" s="89">
        <f>IF(NOT(ISNUMBER(F11)),"",F11*2)</f>
        <v/>
      </c>
      <c r="H11" s="85">
        <f>IF(B11="","",IF(C11="","NO EVIDENCE LINE",IF(LEFT(E11,1)="5","LEVEL 5 ONLY","")))</f>
        <v/>
      </c>
    </row>
    <row r="12" ht="45.75" customHeight="1" s="41">
      <c r="A12" s="86" t="n"/>
      <c r="B12" s="80" t="n"/>
      <c r="C12" s="80" t="n"/>
      <c r="D12" s="80" t="n"/>
      <c r="E12" s="86" t="n"/>
      <c r="F12" s="86" t="n"/>
      <c r="G12" s="89">
        <f>IF(NOT(ISNUMBER(F12)),"",F12*2)</f>
        <v/>
      </c>
      <c r="H12" s="85">
        <f>IF(B12="","",IF(C12="","NO EVIDENCE LINE",IF(LEFT(E12,1)="5","LEVEL 5 ONLY","")))</f>
        <v/>
      </c>
    </row>
    <row r="13" ht="45.75" customHeight="1" s="41">
      <c r="A13" s="84" t="n"/>
      <c r="B13" s="78" t="n"/>
      <c r="C13" s="78" t="n"/>
      <c r="D13" s="78" t="n"/>
      <c r="E13" s="84" t="n"/>
      <c r="F13" s="84" t="n"/>
      <c r="G13" s="89">
        <f>IF(NOT(ISNUMBER(F13)),"",F13*2)</f>
        <v/>
      </c>
      <c r="H13" s="85">
        <f>IF(B13="","",IF(C13="","NO EVIDENCE LINE",IF(LEFT(E13,1)="5","LEVEL 5 ONLY","")))</f>
        <v/>
      </c>
    </row>
    <row r="14" ht="45.75" customHeight="1" s="41">
      <c r="A14" s="86" t="n"/>
      <c r="B14" s="80" t="n"/>
      <c r="C14" s="80" t="n"/>
      <c r="D14" s="80" t="n"/>
      <c r="E14" s="86" t="n"/>
      <c r="F14" s="86" t="n"/>
      <c r="G14" s="89">
        <f>IF(NOT(ISNUMBER(F14)),"",F14*2)</f>
        <v/>
      </c>
      <c r="H14" s="85">
        <f>IF(B14="","",IF(C14="","NO EVIDENCE LINE",IF(LEFT(E14,1)="5","LEVEL 5 ONLY","")))</f>
        <v/>
      </c>
    </row>
    <row r="15" ht="45.75" customHeight="1" s="41">
      <c r="A15" s="84" t="n"/>
      <c r="B15" s="78" t="n"/>
      <c r="C15" s="78" t="n"/>
      <c r="D15" s="78" t="n"/>
      <c r="E15" s="84" t="n"/>
      <c r="F15" s="84" t="n"/>
      <c r="G15" s="89">
        <f>IF(NOT(ISNUMBER(F15)),"",F15*2)</f>
        <v/>
      </c>
      <c r="H15" s="85">
        <f>IF(B15="","",IF(C15="","NO EVIDENCE LINE",IF(LEFT(E15,1)="5","LEVEL 5 ONLY","")))</f>
        <v/>
      </c>
    </row>
    <row r="16" ht="45.75" customHeight="1" s="41">
      <c r="A16" s="86" t="n"/>
      <c r="B16" s="80" t="n"/>
      <c r="C16" s="80" t="n"/>
      <c r="D16" s="80" t="n"/>
      <c r="E16" s="86" t="n"/>
      <c r="F16" s="86" t="n"/>
      <c r="G16" s="89">
        <f>IF(NOT(ISNUMBER(F16)),"",F16*2)</f>
        <v/>
      </c>
      <c r="H16" s="85">
        <f>IF(B16="","",IF(C16="","NO EVIDENCE LINE",IF(LEFT(E16,1)="5","LEVEL 5 ONLY","")))</f>
        <v/>
      </c>
    </row>
    <row r="17" ht="45.75" customHeight="1" s="41">
      <c r="A17" s="84" t="n"/>
      <c r="B17" s="78" t="n"/>
      <c r="C17" s="78" t="n"/>
      <c r="D17" s="78" t="n"/>
      <c r="E17" s="84" t="n"/>
      <c r="F17" s="84" t="n"/>
      <c r="G17" s="89">
        <f>IF(NOT(ISNUMBER(F17)),"",F17*2)</f>
        <v/>
      </c>
      <c r="H17" s="85">
        <f>IF(B17="","",IF(C17="","NO EVIDENCE LINE",IF(LEFT(E17,1)="5","LEVEL 5 ONLY","")))</f>
        <v/>
      </c>
    </row>
    <row r="18" ht="45.75" customHeight="1" s="41">
      <c r="A18" s="86" t="n"/>
      <c r="B18" s="80" t="n"/>
      <c r="C18" s="80" t="n"/>
      <c r="D18" s="80" t="n"/>
      <c r="E18" s="86" t="n"/>
      <c r="F18" s="86" t="n"/>
      <c r="G18" s="89">
        <f>IF(NOT(ISNUMBER(F18)),"",F18*2)</f>
        <v/>
      </c>
      <c r="H18" s="85">
        <f>IF(B18="","",IF(C18="","NO EVIDENCE LINE",IF(LEFT(E18,1)="5","LEVEL 5 ONLY","")))</f>
        <v/>
      </c>
    </row>
    <row r="19" ht="45.75" customHeight="1" s="41">
      <c r="A19" s="84" t="n"/>
      <c r="B19" s="78" t="n"/>
      <c r="C19" s="78" t="n"/>
      <c r="D19" s="78" t="n"/>
      <c r="E19" s="84" t="n"/>
      <c r="F19" s="84" t="n"/>
      <c r="G19" s="89">
        <f>IF(NOT(ISNUMBER(F19)),"",F19*2)</f>
        <v/>
      </c>
      <c r="H19" s="85">
        <f>IF(B19="","",IF(C19="","NO EVIDENCE LINE",IF(LEFT(E19,1)="5","LEVEL 5 ONLY","")))</f>
        <v/>
      </c>
    </row>
    <row r="20" ht="45.75" customHeight="1" s="41">
      <c r="A20" s="86" t="n"/>
      <c r="B20" s="80" t="n"/>
      <c r="C20" s="80" t="n"/>
      <c r="D20" s="80" t="n"/>
      <c r="E20" s="86" t="n"/>
      <c r="F20" s="86" t="n"/>
      <c r="G20" s="89">
        <f>IF(NOT(ISNUMBER(F20)),"",F20*2)</f>
        <v/>
      </c>
      <c r="H20" s="85">
        <f>IF(B20="","",IF(C20="","NO EVIDENCE LINE",IF(LEFT(E20,1)="5","LEVEL 5 ONLY","")))</f>
        <v/>
      </c>
    </row>
    <row r="21" ht="45.75" customHeight="1" s="41">
      <c r="A21" s="84" t="n"/>
      <c r="B21" s="78" t="n"/>
      <c r="C21" s="78" t="n"/>
      <c r="D21" s="78" t="n"/>
      <c r="E21" s="84" t="n"/>
      <c r="F21" s="84" t="n"/>
      <c r="G21" s="89">
        <f>IF(NOT(ISNUMBER(F21)),"",F21*2)</f>
        <v/>
      </c>
      <c r="H21" s="85">
        <f>IF(B21="","",IF(C21="","NO EVIDENCE LINE",IF(LEFT(E21,1)="5","LEVEL 5 ONLY","")))</f>
        <v/>
      </c>
    </row>
    <row r="22" ht="45.75" customHeight="1" s="41">
      <c r="A22" s="86" t="n"/>
      <c r="B22" s="80" t="n"/>
      <c r="C22" s="80" t="n"/>
      <c r="D22" s="80" t="n"/>
      <c r="E22" s="86" t="n"/>
      <c r="F22" s="86" t="n"/>
      <c r="G22" s="89">
        <f>IF(NOT(ISNUMBER(F22)),"",F22*2)</f>
        <v/>
      </c>
      <c r="H22" s="85">
        <f>IF(B22="","",IF(C22="","NO EVIDENCE LINE",IF(LEFT(E22,1)="5","LEVEL 5 ONLY","")))</f>
        <v/>
      </c>
    </row>
    <row r="23" ht="45.75" customHeight="1" s="41">
      <c r="A23" s="84" t="n"/>
      <c r="B23" s="78" t="n"/>
      <c r="C23" s="78" t="n"/>
      <c r="D23" s="78" t="n"/>
      <c r="E23" s="84" t="n"/>
      <c r="F23" s="84" t="n"/>
      <c r="G23" s="89">
        <f>IF(NOT(ISNUMBER(F23)),"",F23*2)</f>
        <v/>
      </c>
      <c r="H23" s="85">
        <f>IF(B23="","",IF(C23="","NO EVIDENCE LINE",IF(LEFT(E23,1)="5","LEVEL 5 ONLY","")))</f>
        <v/>
      </c>
    </row>
    <row r="24" ht="45.75" customHeight="1" s="41">
      <c r="A24" s="86" t="n"/>
      <c r="B24" s="80" t="n"/>
      <c r="C24" s="80" t="n"/>
      <c r="D24" s="80" t="n"/>
      <c r="E24" s="86" t="n"/>
      <c r="F24" s="86" t="n"/>
      <c r="G24" s="89">
        <f>IF(NOT(ISNUMBER(F24)),"",F24*2)</f>
        <v/>
      </c>
      <c r="H24" s="85">
        <f>IF(B24="","",IF(C24="","NO EVIDENCE LINE",IF(LEFT(E24,1)="5","LEVEL 5 ONLY","")))</f>
        <v/>
      </c>
    </row>
    <row r="25" ht="45.75" customHeight="1" s="41">
      <c r="A25" s="84" t="n"/>
      <c r="B25" s="78" t="n"/>
      <c r="C25" s="78" t="n"/>
      <c r="D25" s="78" t="n"/>
      <c r="E25" s="84" t="n"/>
      <c r="F25" s="84" t="n"/>
      <c r="G25" s="89">
        <f>IF(NOT(ISNUMBER(F25)),"",F25*2)</f>
        <v/>
      </c>
      <c r="H25" s="85">
        <f>IF(B25="","",IF(C25="","NO EVIDENCE LINE",IF(LEFT(E25,1)="5","LEVEL 5 ONLY","")))</f>
        <v/>
      </c>
    </row>
    <row r="26" ht="45.75" customHeight="1" s="41">
      <c r="A26" s="86" t="n"/>
      <c r="B26" s="80" t="n"/>
      <c r="C26" s="80" t="n"/>
      <c r="D26" s="80" t="n"/>
      <c r="E26" s="86" t="n"/>
      <c r="F26" s="86" t="n"/>
      <c r="G26" s="89">
        <f>IF(NOT(ISNUMBER(F26)),"",F26*2)</f>
        <v/>
      </c>
      <c r="H26" s="85">
        <f>IF(B26="","",IF(C26="","NO EVIDENCE LINE",IF(LEFT(E26,1)="5","LEVEL 5 ONLY","")))</f>
        <v/>
      </c>
    </row>
    <row r="27" ht="45.75" customHeight="1" s="41">
      <c r="A27" s="84" t="n"/>
      <c r="B27" s="78" t="n"/>
      <c r="C27" s="78" t="n"/>
      <c r="D27" s="78" t="n"/>
      <c r="E27" s="84" t="n"/>
      <c r="F27" s="84" t="n"/>
      <c r="G27" s="89">
        <f>IF(NOT(ISNUMBER(F27)),"",F27*2)</f>
        <v/>
      </c>
      <c r="H27" s="85">
        <f>IF(B27="","",IF(C27="","NO EVIDENCE LINE",IF(LEFT(E27,1)="5","LEVEL 5 ONLY","")))</f>
        <v/>
      </c>
    </row>
    <row r="28" ht="45.75" customHeight="1" s="41">
      <c r="A28" s="86" t="n"/>
      <c r="B28" s="80" t="n"/>
      <c r="C28" s="80" t="n"/>
      <c r="D28" s="80" t="n"/>
      <c r="E28" s="86" t="n"/>
      <c r="F28" s="86" t="n"/>
      <c r="G28" s="89">
        <f>IF(NOT(ISNUMBER(F28)),"",F28*2)</f>
        <v/>
      </c>
      <c r="H28" s="85">
        <f>IF(B28="","",IF(C28="","NO EVIDENCE LINE",IF(LEFT(E28,1)="5","LEVEL 5 ONLY","")))</f>
        <v/>
      </c>
    </row>
    <row r="29" ht="45.75" customHeight="1" s="41">
      <c r="A29" s="84" t="n"/>
      <c r="B29" s="78" t="n"/>
      <c r="C29" s="78" t="n"/>
      <c r="D29" s="78" t="n"/>
      <c r="E29" s="84" t="n"/>
      <c r="F29" s="84" t="n"/>
      <c r="G29" s="89">
        <f>IF(NOT(ISNUMBER(F29)),"",F29*2)</f>
        <v/>
      </c>
      <c r="H29" s="85">
        <f>IF(B29="","",IF(C29="","NO EVIDENCE LINE",IF(LEFT(E29,1)="5","LEVEL 5 ONLY","")))</f>
        <v/>
      </c>
    </row>
    <row r="30" ht="45.75" customHeight="1" s="41">
      <c r="A30" s="86" t="n"/>
      <c r="B30" s="80" t="n"/>
      <c r="C30" s="80" t="n"/>
      <c r="D30" s="80" t="n"/>
      <c r="E30" s="86" t="n"/>
      <c r="F30" s="86" t="n"/>
      <c r="G30" s="89">
        <f>IF(NOT(ISNUMBER(F30)),"",F30*2)</f>
        <v/>
      </c>
      <c r="H30" s="85">
        <f>IF(B30="","",IF(C30="","NO EVIDENCE LINE",IF(LEFT(E30,1)="5","LEVEL 5 ONLY","")))</f>
        <v/>
      </c>
    </row>
    <row r="31" ht="45.75" customHeight="1" s="41">
      <c r="A31" s="84" t="n"/>
      <c r="B31" s="78" t="n"/>
      <c r="C31" s="78" t="n"/>
      <c r="D31" s="78" t="n"/>
      <c r="E31" s="84" t="n"/>
      <c r="F31" s="84" t="n"/>
      <c r="G31" s="89">
        <f>IF(NOT(ISNUMBER(F31)),"",F31*2)</f>
        <v/>
      </c>
      <c r="H31" s="85">
        <f>IF(B31="","",IF(C31="","NO EVIDENCE LINE",IF(LEFT(E31,1)="5","LEVEL 5 ONLY","")))</f>
        <v/>
      </c>
    </row>
    <row r="32" ht="45.75" customHeight="1" s="41">
      <c r="A32" s="86" t="n"/>
      <c r="B32" s="80" t="n"/>
      <c r="C32" s="80" t="n"/>
      <c r="D32" s="80" t="n"/>
      <c r="E32" s="86" t="n"/>
      <c r="F32" s="86" t="n"/>
      <c r="G32" s="89">
        <f>IF(NOT(ISNUMBER(F32)),"",F32*2)</f>
        <v/>
      </c>
      <c r="H32" s="85">
        <f>IF(B32="","",IF(C32="","NO EVIDENCE LINE",IF(LEFT(E32,1)="5","LEVEL 5 ONLY","")))</f>
        <v/>
      </c>
    </row>
    <row r="33" ht="45.75" customHeight="1" s="41">
      <c r="A33" s="84" t="n"/>
      <c r="B33" s="78" t="n"/>
      <c r="C33" s="78" t="n"/>
      <c r="D33" s="78" t="n"/>
      <c r="E33" s="84" t="n"/>
      <c r="F33" s="84" t="n"/>
      <c r="G33" s="89">
        <f>IF(NOT(ISNUMBER(F33)),"",F33*2)</f>
        <v/>
      </c>
      <c r="H33" s="85">
        <f>IF(B33="","",IF(C33="","NO EVIDENCE LINE",IF(LEFT(E33,1)="5","LEVEL 5 ONLY","")))</f>
        <v/>
      </c>
    </row>
    <row r="34" ht="45.75" customHeight="1" s="41">
      <c r="A34" s="86" t="n"/>
      <c r="B34" s="80" t="n"/>
      <c r="C34" s="80" t="n"/>
      <c r="D34" s="80" t="n"/>
      <c r="E34" s="86" t="n"/>
      <c r="F34" s="86" t="n"/>
      <c r="G34" s="89">
        <f>IF(NOT(ISNUMBER(F34)),"",F34*2)</f>
        <v/>
      </c>
      <c r="H34" s="85">
        <f>IF(B34="","",IF(C34="","NO EVIDENCE LINE",IF(LEFT(E34,1)="5","LEVEL 5 ONLY","")))</f>
        <v/>
      </c>
    </row>
    <row r="35" ht="45.75" customHeight="1" s="41">
      <c r="A35" s="84" t="n"/>
      <c r="B35" s="78" t="n"/>
      <c r="C35" s="78" t="n"/>
      <c r="D35" s="78" t="n"/>
      <c r="E35" s="84" t="n"/>
      <c r="F35" s="84" t="n"/>
      <c r="G35" s="89">
        <f>IF(NOT(ISNUMBER(F35)),"",F35*2)</f>
        <v/>
      </c>
      <c r="H35" s="85">
        <f>IF(B35="","",IF(C35="","NO EVIDENCE LINE",IF(LEFT(E35,1)="5","LEVEL 5 ONLY","")))</f>
        <v/>
      </c>
    </row>
    <row r="36" ht="45.75" customHeight="1" s="41">
      <c r="A36" s="86" t="n"/>
      <c r="B36" s="80" t="n"/>
      <c r="C36" s="80" t="n"/>
      <c r="D36" s="80" t="n"/>
      <c r="E36" s="86" t="n"/>
      <c r="F36" s="86" t="n"/>
      <c r="G36" s="89">
        <f>IF(NOT(ISNUMBER(F36)),"",F36*2)</f>
        <v/>
      </c>
      <c r="H36" s="85">
        <f>IF(B36="","",IF(C36="","NO EVIDENCE LINE",IF(LEFT(E36,1)="5","LEVEL 5 ONLY","")))</f>
        <v/>
      </c>
    </row>
    <row r="37" ht="45.75" customHeight="1" s="41">
      <c r="A37" s="84" t="n"/>
      <c r="B37" s="78" t="n"/>
      <c r="C37" s="78" t="n"/>
      <c r="D37" s="78" t="n"/>
      <c r="E37" s="84" t="n"/>
      <c r="F37" s="84" t="n"/>
      <c r="G37" s="89">
        <f>IF(NOT(ISNUMBER(F37)),"",F37*2)</f>
        <v/>
      </c>
      <c r="H37" s="85">
        <f>IF(B37="","",IF(C37="","NO EVIDENCE LINE",IF(LEFT(E37,1)="5","LEVEL 5 ONLY","")))</f>
        <v/>
      </c>
    </row>
    <row r="38" ht="45.75" customHeight="1" s="41">
      <c r="A38" s="86" t="n"/>
      <c r="B38" s="80" t="n"/>
      <c r="C38" s="80" t="n"/>
      <c r="D38" s="80" t="n"/>
      <c r="E38" s="86" t="n"/>
      <c r="F38" s="86" t="n"/>
      <c r="G38" s="89">
        <f>IF(NOT(ISNUMBER(F38)),"",F38*2)</f>
        <v/>
      </c>
      <c r="H38" s="85">
        <f>IF(B38="","",IF(C38="","NO EVIDENCE LINE",IF(LEFT(E38,1)="5","LEVEL 5 ONLY","")))</f>
        <v/>
      </c>
    </row>
    <row r="39" ht="45.75" customHeight="1" s="41">
      <c r="A39" s="84" t="n"/>
      <c r="B39" s="78" t="n"/>
      <c r="C39" s="78" t="n"/>
      <c r="D39" s="78" t="n"/>
      <c r="E39" s="84" t="n"/>
      <c r="F39" s="84" t="n"/>
      <c r="G39" s="89">
        <f>IF(NOT(ISNUMBER(F39)),"",F39*2)</f>
        <v/>
      </c>
      <c r="H39" s="85">
        <f>IF(B39="","",IF(C39="","NO EVIDENCE LINE",IF(LEFT(E39,1)="5","LEVEL 5 ONLY","")))</f>
        <v/>
      </c>
    </row>
    <row r="40" ht="45.75" customHeight="1" s="41">
      <c r="A40" s="86" t="n"/>
      <c r="B40" s="80" t="n"/>
      <c r="C40" s="80" t="n"/>
      <c r="D40" s="80" t="n"/>
      <c r="E40" s="86" t="n"/>
      <c r="F40" s="86" t="n"/>
      <c r="G40" s="89">
        <f>IF(NOT(ISNUMBER(F40)),"",F40*2)</f>
        <v/>
      </c>
      <c r="H40" s="85">
        <f>IF(B40="","",IF(C40="","NO EVIDENCE LINE",IF(LEFT(E40,1)="5","LEVEL 5 ONLY","")))</f>
        <v/>
      </c>
    </row>
    <row r="41" ht="45.75" customHeight="1" s="41">
      <c r="A41" s="84" t="n"/>
      <c r="B41" s="78" t="n"/>
      <c r="C41" s="78" t="n"/>
      <c r="D41" s="78" t="n"/>
      <c r="E41" s="84" t="n"/>
      <c r="F41" s="84" t="n"/>
      <c r="G41" s="89">
        <f>IF(NOT(ISNUMBER(F41)),"",F41*2)</f>
        <v/>
      </c>
      <c r="H41" s="85">
        <f>IF(B41="","",IF(C41="","NO EVIDENCE LINE",IF(LEFT(E41,1)="5","LEVEL 5 ONLY","")))</f>
        <v/>
      </c>
    </row>
    <row r="42" ht="45.75" customHeight="1" s="41">
      <c r="A42" s="86" t="n"/>
      <c r="B42" s="80" t="n"/>
      <c r="C42" s="80" t="n"/>
      <c r="D42" s="80" t="n"/>
      <c r="E42" s="86" t="n"/>
      <c r="F42" s="86" t="n"/>
      <c r="G42" s="89">
        <f>IF(NOT(ISNUMBER(F42)),"",F42*2)</f>
        <v/>
      </c>
      <c r="H42" s="85">
        <f>IF(B42="","",IF(C42="","NO EVIDENCE LINE",IF(LEFT(E42,1)="5","LEVEL 5 ONLY","")))</f>
        <v/>
      </c>
    </row>
    <row r="43" ht="45.75" customHeight="1" s="41">
      <c r="A43" s="84" t="n"/>
      <c r="B43" s="78" t="n"/>
      <c r="C43" s="78" t="n"/>
      <c r="D43" s="78" t="n"/>
      <c r="E43" s="84" t="n"/>
      <c r="F43" s="84" t="n"/>
      <c r="G43" s="89">
        <f>IF(NOT(ISNUMBER(F43)),"",F43*2)</f>
        <v/>
      </c>
      <c r="H43" s="85">
        <f>IF(B43="","",IF(C43="","NO EVIDENCE LINE",IF(LEFT(E43,1)="5","LEVEL 5 ONLY","")))</f>
        <v/>
      </c>
    </row>
    <row r="44" ht="45.75" customHeight="1" s="41">
      <c r="A44" s="86" t="n"/>
      <c r="B44" s="80" t="n"/>
      <c r="C44" s="80" t="n"/>
      <c r="D44" s="80" t="n"/>
      <c r="E44" s="86" t="n"/>
      <c r="F44" s="86" t="n"/>
      <c r="G44" s="89">
        <f>IF(NOT(ISNUMBER(F44)),"",F44*2)</f>
        <v/>
      </c>
      <c r="H44" s="85">
        <f>IF(B44="","",IF(C44="","NO EVIDENCE LINE",IF(LEFT(E44,1)="5","LEVEL 5 ONLY","")))</f>
        <v/>
      </c>
    </row>
    <row r="45" ht="45.75" customHeight="1" s="41">
      <c r="A45" s="84" t="n"/>
      <c r="B45" s="78" t="n"/>
      <c r="C45" s="78" t="n"/>
      <c r="D45" s="78" t="n"/>
      <c r="E45" s="84" t="n"/>
      <c r="F45" s="84" t="n"/>
      <c r="G45" s="89">
        <f>IF(NOT(ISNUMBER(F45)),"",F45*2)</f>
        <v/>
      </c>
      <c r="H45" s="85">
        <f>IF(B45="","",IF(C45="","NO EVIDENCE LINE",IF(LEFT(E45,1)="5","LEVEL 5 ONLY","")))</f>
        <v/>
      </c>
    </row>
    <row r="46" ht="45.75" customHeight="1" s="41">
      <c r="A46" s="86" t="n"/>
      <c r="B46" s="80" t="n"/>
      <c r="C46" s="80" t="n"/>
      <c r="D46" s="80" t="n"/>
      <c r="E46" s="86" t="n"/>
      <c r="F46" s="86" t="n"/>
      <c r="G46" s="89">
        <f>IF(NOT(ISNUMBER(F46)),"",F46*2)</f>
        <v/>
      </c>
      <c r="H46" s="85">
        <f>IF(B46="","",IF(C46="","NO EVIDENCE LINE",IF(LEFT(E46,1)="5","LEVEL 5 ONLY","")))</f>
        <v/>
      </c>
    </row>
    <row r="47" ht="45.75" customHeight="1" s="41">
      <c r="A47" s="84" t="n"/>
      <c r="B47" s="78" t="n"/>
      <c r="C47" s="78" t="n"/>
      <c r="D47" s="78" t="n"/>
      <c r="E47" s="84" t="n"/>
      <c r="F47" s="84" t="n"/>
      <c r="G47" s="89">
        <f>IF(NOT(ISNUMBER(F47)),"",F47*2)</f>
        <v/>
      </c>
      <c r="H47" s="85">
        <f>IF(B47="","",IF(C47="","NO EVIDENCE LINE",IF(LEFT(E47,1)="5","LEVEL 5 ONLY","")))</f>
        <v/>
      </c>
    </row>
    <row r="48" ht="45.75" customHeight="1" s="41">
      <c r="A48" s="86" t="n"/>
      <c r="B48" s="80" t="n"/>
      <c r="C48" s="80" t="n"/>
      <c r="D48" s="80" t="n"/>
      <c r="E48" s="86" t="n"/>
      <c r="F48" s="86" t="n"/>
      <c r="G48" s="89">
        <f>IF(NOT(ISNUMBER(F48)),"",F48*2)</f>
        <v/>
      </c>
      <c r="H48" s="85">
        <f>IF(B48="","",IF(C48="","NO EVIDENCE LINE",IF(LEFT(E48,1)="5","LEVEL 5 ONLY","")))</f>
        <v/>
      </c>
    </row>
    <row r="49" ht="45.75" customHeight="1" s="41">
      <c r="A49" s="84" t="n"/>
      <c r="B49" s="78" t="n"/>
      <c r="C49" s="78" t="n"/>
      <c r="D49" s="78" t="n"/>
      <c r="E49" s="84" t="n"/>
      <c r="F49" s="84" t="n"/>
      <c r="G49" s="89">
        <f>IF(NOT(ISNUMBER(F49)),"",F49*2)</f>
        <v/>
      </c>
      <c r="H49" s="85">
        <f>IF(B49="","",IF(C49="","NO EVIDENCE LINE",IF(LEFT(E49,1)="5","LEVEL 5 ONLY","")))</f>
        <v/>
      </c>
    </row>
    <row r="50" ht="45.75" customHeight="1" s="41">
      <c r="A50" s="86" t="n"/>
      <c r="B50" s="80" t="n"/>
      <c r="C50" s="80" t="n"/>
      <c r="D50" s="80" t="n"/>
      <c r="E50" s="86" t="n"/>
      <c r="F50" s="86" t="n"/>
      <c r="G50" s="89">
        <f>IF(NOT(ISNUMBER(F50)),"",F50*2)</f>
        <v/>
      </c>
      <c r="H50" s="85">
        <f>IF(B50="","",IF(C50="","NO EVIDENCE LINE",IF(LEFT(E50,1)="5","LEVEL 5 ONLY","")))</f>
        <v/>
      </c>
    </row>
    <row r="51" ht="45.75" customHeight="1" s="41">
      <c r="A51" s="84" t="n"/>
      <c r="B51" s="78" t="n"/>
      <c r="C51" s="78" t="n"/>
      <c r="D51" s="78" t="n"/>
      <c r="E51" s="84" t="n"/>
      <c r="F51" s="84" t="n"/>
      <c r="G51" s="89">
        <f>IF(NOT(ISNUMBER(F51)),"",F51*2)</f>
        <v/>
      </c>
      <c r="H51" s="85">
        <f>IF(B51="","",IF(C51="","NO EVIDENCE LINE",IF(LEFT(E51,1)="5","LEVEL 5 ONLY","")))</f>
        <v/>
      </c>
    </row>
    <row r="52" ht="45.75" customHeight="1" s="41">
      <c r="A52" s="86" t="n"/>
      <c r="B52" s="80" t="n"/>
      <c r="C52" s="80" t="n"/>
      <c r="D52" s="80" t="n"/>
      <c r="E52" s="86" t="n"/>
      <c r="F52" s="86" t="n"/>
      <c r="G52" s="89">
        <f>IF(NOT(ISNUMBER(F52)),"",F52*2)</f>
        <v/>
      </c>
      <c r="H52" s="85">
        <f>IF(B52="","",IF(C52="","NO EVIDENCE LINE",IF(LEFT(E52,1)="5","LEVEL 5 ONLY","")))</f>
        <v/>
      </c>
    </row>
    <row r="53" ht="45.75" customHeight="1" s="41">
      <c r="A53" s="84" t="n"/>
      <c r="B53" s="78" t="n"/>
      <c r="C53" s="78" t="n"/>
      <c r="D53" s="78" t="n"/>
      <c r="E53" s="84" t="n"/>
      <c r="F53" s="84" t="n"/>
      <c r="G53" s="89">
        <f>IF(NOT(ISNUMBER(F53)),"",F53*2)</f>
        <v/>
      </c>
      <c r="H53" s="85">
        <f>IF(B53="","",IF(C53="","NO EVIDENCE LINE",IF(LEFT(E53,1)="5","LEVEL 5 ONLY","")))</f>
        <v/>
      </c>
    </row>
    <row r="54" ht="45.75" customHeight="1" s="41">
      <c r="A54" s="86" t="n"/>
      <c r="B54" s="80" t="n"/>
      <c r="C54" s="80" t="n"/>
      <c r="D54" s="80" t="n"/>
      <c r="E54" s="86" t="n"/>
      <c r="F54" s="86" t="n"/>
      <c r="G54" s="89">
        <f>IF(NOT(ISNUMBER(F54)),"",F54*2)</f>
        <v/>
      </c>
      <c r="H54" s="85">
        <f>IF(B54="","",IF(C54="","NO EVIDENCE LINE",IF(LEFT(E54,1)="5","LEVEL 5 ONLY","")))</f>
        <v/>
      </c>
    </row>
    <row r="55" ht="45.75" customHeight="1" s="41">
      <c r="A55" s="84" t="n"/>
      <c r="B55" s="78" t="n"/>
      <c r="C55" s="78" t="n"/>
      <c r="D55" s="78" t="n"/>
      <c r="E55" s="84" t="n"/>
      <c r="F55" s="84" t="n"/>
      <c r="G55" s="89">
        <f>IF(NOT(ISNUMBER(F55)),"",F55*2)</f>
        <v/>
      </c>
      <c r="H55" s="85">
        <f>IF(B55="","",IF(C55="","NO EVIDENCE LINE",IF(LEFT(E55,1)="5","LEVEL 5 ONLY","")))</f>
        <v/>
      </c>
    </row>
    <row r="56" ht="45.75" customHeight="1" s="41">
      <c r="A56" s="86" t="n"/>
      <c r="B56" s="80" t="n"/>
      <c r="C56" s="80" t="n"/>
      <c r="D56" s="80" t="n"/>
      <c r="E56" s="86" t="n"/>
      <c r="F56" s="86" t="n"/>
      <c r="G56" s="89">
        <f>IF(NOT(ISNUMBER(F56)),"",F56*2)</f>
        <v/>
      </c>
      <c r="H56" s="85">
        <f>IF(B56="","",IF(C56="","NO EVIDENCE LINE",IF(LEFT(E56,1)="5","LEVEL 5 ONLY","")))</f>
        <v/>
      </c>
    </row>
    <row r="57" ht="45.75" customHeight="1" s="41">
      <c r="A57" s="84" t="n"/>
      <c r="B57" s="78" t="n"/>
      <c r="C57" s="78" t="n"/>
      <c r="D57" s="78" t="n"/>
      <c r="E57" s="84" t="n"/>
      <c r="F57" s="84" t="n"/>
      <c r="G57" s="89">
        <f>IF(NOT(ISNUMBER(F57)),"",F57*2)</f>
        <v/>
      </c>
      <c r="H57" s="85">
        <f>IF(B57="","",IF(C57="","NO EVIDENCE LINE",IF(LEFT(E57,1)="5","LEVEL 5 ONLY","")))</f>
        <v/>
      </c>
    </row>
    <row r="58" ht="45.75" customHeight="1" s="41">
      <c r="A58" s="86" t="n"/>
      <c r="B58" s="80" t="n"/>
      <c r="C58" s="80" t="n"/>
      <c r="D58" s="80" t="n"/>
      <c r="E58" s="86" t="n"/>
      <c r="F58" s="86" t="n"/>
      <c r="G58" s="89">
        <f>IF(NOT(ISNUMBER(F58)),"",F58*2)</f>
        <v/>
      </c>
      <c r="H58" s="85">
        <f>IF(B58="","",IF(C58="","NO EVIDENCE LINE",IF(LEFT(E58,1)="5","LEVEL 5 ONLY","")))</f>
        <v/>
      </c>
    </row>
    <row r="59" ht="45.75" customHeight="1" s="41">
      <c r="A59" s="84" t="n"/>
      <c r="B59" s="78" t="n"/>
      <c r="C59" s="78" t="n"/>
      <c r="D59" s="78" t="n"/>
      <c r="E59" s="84" t="n"/>
      <c r="F59" s="84" t="n"/>
      <c r="G59" s="89">
        <f>IF(NOT(ISNUMBER(F59)),"",F59*2)</f>
        <v/>
      </c>
      <c r="H59" s="85">
        <f>IF(B59="","",IF(C59="","NO EVIDENCE LINE",IF(LEFT(E59,1)="5","LEVEL 5 ONLY","")))</f>
        <v/>
      </c>
    </row>
    <row r="60" ht="45.75" customHeight="1" s="41">
      <c r="A60" s="86" t="n"/>
      <c r="B60" s="80" t="n"/>
      <c r="C60" s="80" t="n"/>
      <c r="D60" s="80" t="n"/>
      <c r="E60" s="86" t="n"/>
      <c r="F60" s="86" t="n"/>
      <c r="G60" s="89">
        <f>IF(NOT(ISNUMBER(F60)),"",F60*2)</f>
        <v/>
      </c>
      <c r="H60" s="85">
        <f>IF(B60="","",IF(C60="","NO EVIDENCE LINE",IF(LEFT(E60,1)="5","LEVEL 5 ONLY","")))</f>
        <v/>
      </c>
    </row>
    <row r="61" ht="45.75" customHeight="1" s="41">
      <c r="A61" s="84" t="n"/>
      <c r="B61" s="78" t="n"/>
      <c r="C61" s="78" t="n"/>
      <c r="D61" s="78" t="n"/>
      <c r="E61" s="84" t="n"/>
      <c r="F61" s="84" t="n"/>
      <c r="G61" s="89">
        <f>IF(NOT(ISNUMBER(F61)),"",F61*2)</f>
        <v/>
      </c>
      <c r="H61" s="85">
        <f>IF(B61="","",IF(C61="","NO EVIDENCE LINE",IF(LEFT(E61,1)="5","LEVEL 5 ONLY","")))</f>
        <v/>
      </c>
    </row>
    <row r="62" ht="45.75" customHeight="1" s="41">
      <c r="A62" s="86" t="n"/>
      <c r="B62" s="80" t="n"/>
      <c r="C62" s="80" t="n"/>
      <c r="D62" s="80" t="n"/>
      <c r="E62" s="86" t="n"/>
      <c r="F62" s="86" t="n"/>
      <c r="G62" s="89">
        <f>IF(NOT(ISNUMBER(F62)),"",F62*2)</f>
        <v/>
      </c>
      <c r="H62" s="85">
        <f>IF(B62="","",IF(C62="","NO EVIDENCE LINE",IF(LEFT(E62,1)="5","LEVEL 5 ONLY","")))</f>
        <v/>
      </c>
    </row>
    <row r="63" ht="45.75" customHeight="1" s="41">
      <c r="A63" s="84" t="n"/>
      <c r="B63" s="78" t="n"/>
      <c r="C63" s="78" t="n"/>
      <c r="D63" s="78" t="n"/>
      <c r="E63" s="84" t="n"/>
      <c r="F63" s="84" t="n"/>
      <c r="G63" s="89">
        <f>IF(NOT(ISNUMBER(F63)),"",F63*2)</f>
        <v/>
      </c>
      <c r="H63" s="85">
        <f>IF(B63="","",IF(C63="","NO EVIDENCE LINE",IF(LEFT(E63,1)="5","LEVEL 5 ONLY","")))</f>
        <v/>
      </c>
    </row>
    <row r="64" ht="45.75" customHeight="1" s="41">
      <c r="A64" s="86" t="n"/>
      <c r="B64" s="80" t="n"/>
      <c r="C64" s="80" t="n"/>
      <c r="D64" s="80" t="n"/>
      <c r="E64" s="86" t="n"/>
      <c r="F64" s="86" t="n"/>
      <c r="G64" s="89">
        <f>IF(NOT(ISNUMBER(F64)),"",F64*2)</f>
        <v/>
      </c>
      <c r="H64" s="85">
        <f>IF(B64="","",IF(C64="","NO EVIDENCE LINE",IF(LEFT(E64,1)="5","LEVEL 5 ONLY","")))</f>
        <v/>
      </c>
    </row>
    <row r="65" ht="15.75" customHeight="1" s="41">
      <c r="A65" s="82" t="inlineStr">
        <is>
          <t>END OF FORM—rows below this line are not included in any calculation</t>
        </is>
      </c>
    </row>
  </sheetData>
  <sheetProtection selectLockedCells="0" selectUnlockedCells="0" sheet="1" objects="0" insertRows="1" insertHyperlinks="1" autoFilter="1" scenarios="0" formatColumns="1" deleteColumns="1" insertColumns="1" pivotTables="1" deleteRows="1" formatCells="1" formatRows="1" sort="1"/>
  <autoFilter ref="A4:H64"/>
  <mergeCells count="3">
    <mergeCell ref="A65:H65"/>
    <mergeCell ref="A2:H2"/>
    <mergeCell ref="A1:H1"/>
  </mergeCells>
  <conditionalFormatting sqref="H5:H64">
    <cfRule type="expression" rank="0" priority="2" equalAverage="0" aboveAverage="0" dxfId="8" text="" percent="0" bottom="0">
      <formula>$H5&lt;&gt;""</formula>
    </cfRule>
  </conditionalFormatting>
  <conditionalFormatting sqref="E5:E64">
    <cfRule type="expression" rank="0" priority="3" equalAverage="0" aboveAverage="0" dxfId="5" text="" percent="0" bottom="0">
      <formula>LEFT($E5,1)="5"</formula>
    </cfRule>
  </conditionalFormatting>
  <dataValidations count="1">
    <dataValidation sqref="E5:E64" showDropDown="0" showInputMessage="0" showErrorMessage="1" allowBlank="1" type="list" errorStyle="stop" operator="between">
      <formula1>"1 Eliminate cause,2 Error-proof,3 Automate control,4 Detection,5 Procedure"</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J6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71" min="1" max="1"/>
    <col width="11" customWidth="1" style="71" min="2" max="10"/>
  </cols>
  <sheetData>
    <row r="1" ht="25.5" customHeight="1" s="41">
      <c r="A1" s="72" t="inlineStr">
        <is>
          <t>INVESTIGATION DASHBOARD</t>
        </is>
      </c>
    </row>
    <row r="2" ht="15.75" customHeight="1" s="41">
      <c r="A2" s="73" t="inlineStr">
        <is>
          <t>Calculated live from the forms. Nothing on this sheet is typed.</t>
        </is>
      </c>
    </row>
    <row r="3"/>
    <row r="4" ht="18" customHeight="1" s="41">
      <c r="A4" s="95" t="inlineStr">
        <is>
          <t>INVESTIGATIONS</t>
        </is>
      </c>
      <c r="C4" s="96" t="inlineStr">
        <is>
          <t>STILL OPEN</t>
        </is>
      </c>
      <c r="E4" s="97" t="inlineStr">
        <is>
          <t>UNDECIDED CANDIDATES</t>
        </is>
      </c>
      <c r="G4" s="97" t="inlineStr">
        <is>
          <t>CAUSES WITH NO EVIDENCE</t>
        </is>
      </c>
      <c r="I4" s="97" t="inlineStr">
        <is>
          <t>CONTAINMENT EXPIRED</t>
        </is>
      </c>
    </row>
    <row r="5" ht="21.75" customHeight="1" s="41">
      <c r="A5" s="98">
        <f>COUNTA('Form 12 Investigation'!A5:A64)</f>
        <v/>
      </c>
      <c r="C5" s="98">
        <f>COUNTIF('Form 12 Investigation'!H5:H64,"open")</f>
        <v/>
      </c>
      <c r="E5" s="98">
        <f>COUNTIF('Form 13 Candidates'!G5:G304,"UNDECIDED")</f>
        <v/>
      </c>
      <c r="G5" s="98">
        <f>COUNTIF('Form 16 Corrective Action'!H5:H64,"NO EVIDENCE LINE")</f>
        <v/>
      </c>
      <c r="I5" s="98">
        <f>COUNTIF('Form 14 Containment'!D5:D64,"EXPIRED*")</f>
        <v/>
      </c>
    </row>
    <row r="6" ht="13.5" customHeight="1" s="41"/>
    <row r="7" ht="13.5" customHeight="1" s="41">
      <c r="A7" s="99" t="inlineStr">
        <is>
          <t>recorded</t>
        </is>
      </c>
      <c r="C7" s="99" t="inlineStr">
        <is>
          <t>cause not identified</t>
        </is>
      </c>
      <c r="E7" s="99" t="inlineStr">
        <is>
          <t>should be zero</t>
        </is>
      </c>
      <c r="G7" s="99" t="inlineStr">
        <is>
          <t>should be zero</t>
        </is>
      </c>
      <c r="I7" s="99" t="inlineStr">
        <is>
          <t>stop or extend today</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ht="15" customHeight="1" s="41">
      <c r="A42" s="100" t="inlineStr">
        <is>
          <t>Three numbers should read zero. Undecided candidates, because an abandoned candidate is the one that brings the defect back. Causes with no evidence line, because a plausible cause is not a cause. And expired containment, because containment that survives without a decision has become your process. The hierarchy chart is the fourth: a plant whose actions cluster at levels 4 and 5 is reducing escape, not risk.</t>
        </is>
      </c>
    </row>
    <row r="43" ht="15" customHeight="1" s="41"/>
    <row r="44" ht="15" customHeight="1" s="41"/>
    <row r="45"/>
    <row r="46" ht="15" customHeight="1" s="41">
      <c r="A46" s="101" t="inlineStr">
        <is>
          <t>CHART SOURCE DATA—calculated, do not overwrite</t>
        </is>
      </c>
    </row>
    <row r="47" ht="15" customHeight="1" s="41">
      <c r="A47" s="102" t="inlineStr">
        <is>
          <t>Action level</t>
        </is>
      </c>
      <c r="B47" s="102" t="inlineStr">
        <is>
          <t>Actions</t>
        </is>
      </c>
    </row>
    <row r="48" ht="15" customHeight="1" s="41">
      <c r="A48" s="103" t="inlineStr">
        <is>
          <t>5 Procedure</t>
        </is>
      </c>
      <c r="B48" s="103">
        <f>COUNTIF('Form 16 Corrective Action'!$E$5:$E$64,"5*")</f>
        <v/>
      </c>
    </row>
    <row r="49" ht="15" customHeight="1" s="41">
      <c r="A49" s="103" t="inlineStr">
        <is>
          <t>4 Detection</t>
        </is>
      </c>
      <c r="B49" s="103">
        <f>COUNTIF('Form 16 Corrective Action'!$E$5:$E$64,"4*")</f>
        <v/>
      </c>
    </row>
    <row r="50" ht="15" customHeight="1" s="41">
      <c r="A50" s="103" t="inlineStr">
        <is>
          <t>3 Automate control</t>
        </is>
      </c>
      <c r="B50" s="103">
        <f>COUNTIF('Form 16 Corrective Action'!$E$5:$E$64,"3*")</f>
        <v/>
      </c>
    </row>
    <row r="51" ht="15" customHeight="1" s="41">
      <c r="A51" s="103" t="inlineStr">
        <is>
          <t>2 Error-proof</t>
        </is>
      </c>
      <c r="B51" s="103">
        <f>COUNTIF('Form 16 Corrective Action'!$E$5:$E$64,"2*")</f>
        <v/>
      </c>
    </row>
    <row r="52" ht="15" customHeight="1" s="41">
      <c r="A52" s="103" t="inlineStr">
        <is>
          <t>1 Eliminate cause</t>
        </is>
      </c>
      <c r="B52" s="103">
        <f>COUNTIF('Form 16 Corrective Action'!$E$5:$E$64,"1*")</f>
        <v/>
      </c>
    </row>
    <row r="53"/>
    <row r="54" ht="15" customHeight="1" s="41">
      <c r="A54" s="102" t="inlineStr">
        <is>
          <t>Candidate outcome</t>
        </is>
      </c>
      <c r="B54" s="102" t="inlineStr">
        <is>
          <t>Count</t>
        </is>
      </c>
    </row>
    <row r="55" ht="15" customHeight="1" s="41">
      <c r="A55" s="103" t="inlineStr">
        <is>
          <t>Killed</t>
        </is>
      </c>
      <c r="B55" s="103">
        <f>COUNTIF('Form 13 Candidates'!$D$5:$D$304,"killed")</f>
        <v/>
      </c>
    </row>
    <row r="56" ht="15" customHeight="1" s="41">
      <c r="A56" s="103" t="inlineStr">
        <is>
          <t>Kept</t>
        </is>
      </c>
      <c r="B56" s="103">
        <f>COUNTIF('Form 13 Candidates'!$D$5:$D$304,"kept")</f>
        <v/>
      </c>
    </row>
    <row r="57"/>
    <row r="58"/>
    <row r="59" ht="15" customHeight="1" s="41">
      <c r="A59" s="102" t="inlineStr">
        <is>
          <t>Investigation status</t>
        </is>
      </c>
      <c r="B59" s="102" t="inlineStr">
        <is>
          <t>Count</t>
        </is>
      </c>
    </row>
    <row r="60" ht="15" customHeight="1" s="41">
      <c r="A60" s="103" t="inlineStr">
        <is>
          <t>open</t>
        </is>
      </c>
      <c r="B60" s="103">
        <f>COUNTIF('Form 12 Investigation'!$H$5:$H$64,"open")</f>
        <v/>
      </c>
    </row>
    <row r="61" ht="15" customHeight="1" s="41">
      <c r="A61" s="103" t="inlineStr">
        <is>
          <t>cause identified</t>
        </is>
      </c>
      <c r="B61" s="103">
        <f>COUNTIF('Form 12 Investigation'!$H$5:$H$64,"cause identified")</f>
        <v/>
      </c>
    </row>
    <row r="62" ht="15" customHeight="1" s="41">
      <c r="A62" s="103" t="inlineStr">
        <is>
          <t>action in place</t>
        </is>
      </c>
      <c r="B62" s="103">
        <f>COUNTIF('Form 12 Investigation'!$H$5:$H$64,"action in place")</f>
        <v/>
      </c>
    </row>
    <row r="63" ht="15" customHeight="1" s="41">
      <c r="A63" s="103" t="inlineStr">
        <is>
          <t>verifying</t>
        </is>
      </c>
      <c r="B63" s="103">
        <f>COUNTIF('Form 12 Investigation'!$H$5:$H$64,"verifying")</f>
        <v/>
      </c>
    </row>
    <row r="64" ht="15" customHeight="1" s="41">
      <c r="A64" s="103" t="inlineStr">
        <is>
          <t>closed</t>
        </is>
      </c>
      <c r="B64" s="103">
        <f>COUNTIF('Form 12 Investigation'!$H$5:$H$64,"closed")</f>
        <v/>
      </c>
    </row>
  </sheetData>
  <sheetProtection selectLockedCells="0" selectUnlockedCells="0" sheet="1" objects="0" insertRows="1" insertHyperlinks="1" autoFilter="1" scenarios="0" formatColumns="1" deleteColumns="1" insertColumns="1" pivotTables="1" deleteRows="1" formatCells="1" formatRows="1" sort="1"/>
  <mergeCells count="18">
    <mergeCell ref="A4:B4"/>
    <mergeCell ref="G4:H4"/>
    <mergeCell ref="A1:J1"/>
    <mergeCell ref="E4:F4"/>
    <mergeCell ref="I4:J4"/>
    <mergeCell ref="A42:J44"/>
    <mergeCell ref="C7:D7"/>
    <mergeCell ref="A7:B7"/>
    <mergeCell ref="G7:H7"/>
    <mergeCell ref="E7:F7"/>
    <mergeCell ref="I7:J7"/>
    <mergeCell ref="C5:D6"/>
    <mergeCell ref="A5:B6"/>
    <mergeCell ref="G5:H6"/>
    <mergeCell ref="E5:F6"/>
    <mergeCell ref="I5:J6"/>
    <mergeCell ref="A2:J2"/>
    <mergeCell ref="C4:D4"/>
  </mergeCells>
  <printOptions horizontalCentered="0" verticalCentered="0" headings="0" gridLines="0" gridLinesSet="1"/>
  <pageMargins left="0.75" right="0.75" top="1" bottom="1" header="0.511805555555556" footer="0.511805555555556"/>
  <pageSetup orientation="landscape" paperSize="1" scale="100" fitToHeight="0"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filterMode="0">
    <tabColor rgb="00C9CCD2"/>
    <outlinePr summaryBelow="1" summaryRight="1"/>
    <pageSetUpPr fitToPage="0"/>
  </sheetPr>
  <dimension ref="A1:C1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71" min="1" max="1"/>
    <col width="14" customWidth="1" style="71" min="2" max="2"/>
    <col width="62" customWidth="1" style="71" min="3" max="3"/>
  </cols>
  <sheetData>
    <row r="1" ht="25.5" customHeight="1" s="41">
      <c r="A1" s="72" t="inlineStr">
        <is>
          <t>EXAMPLE A RECURRING DEFECT</t>
        </is>
      </c>
    </row>
    <row r="2" ht="15.75" customHeight="1" s="41">
      <c r="A2" s="73" t="inlineStr">
        <is>
          <t>Worked investigation from Part Three of the book. Read, do not edit.</t>
        </is>
      </c>
    </row>
    <row r="3"/>
    <row r="4" ht="39.75" customHeight="1" s="41">
      <c r="A4" s="91" t="inlineStr">
        <is>
          <t>Symptom</t>
        </is>
      </c>
      <c r="B4" s="104" t="inlineStr">
        <is>
          <t>Bore surface banding, 4th occurrence in 14 months, three previous investigations closed</t>
        </is>
      </c>
      <c r="C4" s="92" t="n"/>
    </row>
    <row r="5"/>
    <row r="6" ht="25.5" customHeight="1" s="41">
      <c r="A6" s="77" t="inlineStr">
        <is>
          <t>Candidate cause</t>
        </is>
      </c>
      <c r="B6" s="77" t="inlineStr">
        <is>
          <t>Killed / kept</t>
        </is>
      </c>
      <c r="C6" s="77" t="inlineStr">
        <is>
          <t>Evidence</t>
        </is>
      </c>
    </row>
    <row r="7" ht="39.75" customHeight="1" s="41">
      <c r="A7" s="104" t="inlineStr">
        <is>
          <t>Coolant condition</t>
        </is>
      </c>
      <c r="B7" s="87" t="inlineStr">
        <is>
          <t>killed</t>
        </is>
      </c>
      <c r="C7" s="104" t="inlineStr">
        <is>
          <t>Both cells run off one system. 19 occurrences on cell two, 0 on cell four.</t>
        </is>
      </c>
    </row>
    <row r="8" ht="39.75" customHeight="1" s="41">
      <c r="A8" s="105" t="inlineStr">
        <is>
          <t>Casting quality alone</t>
        </is>
      </c>
      <c r="B8" s="106" t="inlineStr">
        <is>
          <t>killed</t>
        </is>
      </c>
      <c r="C8" s="105" t="inlineStr">
        <is>
          <t>Same pallets feed both cells on the same days.</t>
        </is>
      </c>
    </row>
    <row r="9" ht="39.75" customHeight="1" s="41">
      <c r="A9" s="104" t="inlineStr">
        <is>
          <t>Inspection or grading</t>
        </is>
      </c>
      <c r="B9" s="87" t="inlineStr">
        <is>
          <t>killed</t>
        </is>
      </c>
      <c r="C9" s="104" t="inlineStr">
        <is>
          <t>Same two graders inspect both cells. Retained as a separate finding.</t>
        </is>
      </c>
    </row>
    <row r="10" ht="39.75" customHeight="1" s="41">
      <c r="A10" s="105" t="inlineStr">
        <is>
          <t>Setter competence</t>
        </is>
      </c>
      <c r="B10" s="106" t="inlineStr">
        <is>
          <t>killed</t>
        </is>
      </c>
      <c r="C10" s="105" t="inlineStr">
        <is>
          <t>Both setters work both cells in rotation. Defect follows the machine.</t>
        </is>
      </c>
    </row>
    <row r="11" ht="39.75" customHeight="1" s="41">
      <c r="A11" s="104" t="inlineStr">
        <is>
          <t>Spindle rebuild on cell two</t>
        </is>
      </c>
      <c r="B11" s="87" t="inlineStr">
        <is>
          <t>killed</t>
        </is>
      </c>
      <c r="C11" s="104" t="inlineStr">
        <is>
          <t>Cell four had the same rebuild 3 months later. 900 housings, 11 expected, 0 found.</t>
        </is>
      </c>
    </row>
    <row r="12" ht="39.75" customHeight="1" s="41">
      <c r="A12" s="105" t="inlineStr">
        <is>
          <t>Insert wear</t>
        </is>
      </c>
      <c r="B12" s="106" t="inlineStr">
        <is>
          <t>killed</t>
        </is>
      </c>
      <c r="C12" s="105" t="inlineStr">
        <is>
          <t>Occurrences spread across tool life, not clustered at the end.</t>
        </is>
      </c>
    </row>
    <row r="13" ht="39.75" customHeight="1" s="41">
      <c r="A13" s="104" t="inlineStr">
        <is>
          <t>Feed 0.12 vs process sheet 0.18</t>
        </is>
      </c>
      <c r="B13" s="87" t="inlineStr">
        <is>
          <t>kept</t>
        </is>
      </c>
      <c r="C13" s="104" t="inlineStr">
        <is>
          <t>Cell two runs 0.12, cell four runs 0.18. Only difference surviving every comparison.</t>
        </is>
      </c>
    </row>
    <row r="14" ht="39.75" customHeight="1" s="41">
      <c r="A14" s="105" t="inlineStr">
        <is>
          <t>Incoming hardness increase</t>
        </is>
      </c>
      <c r="B14" s="106" t="inlineStr">
        <is>
          <t>kept</t>
        </is>
      </c>
      <c r="C14" s="105" t="inlineStr">
        <is>
          <t>Foundry melt practice changed 13 months ago. Timing matches defect onset.</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C1"/>
    <mergeCell ref="B4:C4"/>
    <mergeCell ref="A2:C2"/>
  </mergeCells>
  <conditionalFormatting sqref="B7:B14">
    <cfRule type="expression" rank="0" priority="2" equalAverage="0" aboveAverage="0" dxfId="5" text="" percent="0" bottom="0">
      <formula>$B7="kept"</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12.xml><?xml version="1.0" encoding="utf-8"?>
<worksheet xmlns="http://schemas.openxmlformats.org/spreadsheetml/2006/main">
  <sheetPr filterMode="0">
    <tabColor rgb="00C9CCD2"/>
    <outlinePr summaryBelow="1" summaryRight="1"/>
    <pageSetUpPr fitToPage="0"/>
  </sheetPr>
  <dimension ref="A1:C12"/>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71" min="1" max="1"/>
    <col width="14" customWidth="1" style="71" min="2" max="2"/>
    <col width="62" customWidth="1" style="71" min="3" max="3"/>
  </cols>
  <sheetData>
    <row r="1" ht="25.5" customHeight="1" s="41">
      <c r="A1" s="72" t="inlineStr">
        <is>
          <t>EXAMPLE B INTERMITTENT FAILURE</t>
        </is>
      </c>
    </row>
    <row r="2" ht="15.75" customHeight="1" s="41">
      <c r="A2" s="73" t="inlineStr">
        <is>
          <t>Worked investigation from Part Three of the book. Read, do not edit.</t>
        </is>
      </c>
    </row>
    <row r="3"/>
    <row r="4" ht="39.75" customHeight="1" s="41">
      <c r="A4" s="91" t="inlineStr">
        <is>
          <t>Symptom</t>
        </is>
      </c>
      <c r="B4" s="104" t="inlineStr">
        <is>
          <t>Cylinder assemblies failing a pressure test at 1 in 40, then passing on retest with no intervention</t>
        </is>
      </c>
      <c r="C4" s="92" t="n"/>
    </row>
    <row r="5"/>
    <row r="6" ht="25.5" customHeight="1" s="41">
      <c r="A6" s="77" t="inlineStr">
        <is>
          <t>Candidate cause</t>
        </is>
      </c>
      <c r="B6" s="77" t="inlineStr">
        <is>
          <t>Killed / kept</t>
        </is>
      </c>
      <c r="C6" s="77" t="inlineStr">
        <is>
          <t>Evidence</t>
        </is>
      </c>
    </row>
    <row r="7" ht="39.75" customHeight="1" s="41">
      <c r="A7" s="104" t="inlineStr">
        <is>
          <t>Operator</t>
        </is>
      </c>
      <c r="B7" s="87" t="inlineStr">
        <is>
          <t>killed</t>
        </is>
      </c>
      <c r="C7" s="104" t="inlineStr">
        <is>
          <t>Failures spread across all four builders in proportion to volume.</t>
        </is>
      </c>
    </row>
    <row r="8" ht="39.75" customHeight="1" s="41">
      <c r="A8" s="105" t="inlineStr">
        <is>
          <t>Day of week</t>
        </is>
      </c>
      <c r="B8" s="106" t="inlineStr">
        <is>
          <t>killed</t>
        </is>
      </c>
      <c r="C8" s="105" t="inlineStr">
        <is>
          <t>No pattern across 14 weeks.</t>
        </is>
      </c>
    </row>
    <row r="9" ht="39.75" customHeight="1" s="41">
      <c r="A9" s="104" t="inlineStr">
        <is>
          <t>Time of day</t>
        </is>
      </c>
      <c r="B9" s="87" t="inlineStr">
        <is>
          <t>kept</t>
        </is>
      </c>
      <c r="C9" s="104" t="inlineStr">
        <is>
          <t>31 of 34 failures occurred before 09:20.</t>
        </is>
      </c>
    </row>
    <row r="10" ht="39.75" customHeight="1" s="41">
      <c r="A10" s="105" t="inlineStr">
        <is>
          <t>Ambient temperature</t>
        </is>
      </c>
      <c r="B10" s="106" t="inlineStr">
        <is>
          <t>kept</t>
        </is>
      </c>
      <c r="C10" s="105" t="inlineStr">
        <is>
          <t>Every failure occurred at a rig temperature below 14 C.</t>
        </is>
      </c>
    </row>
    <row r="11" ht="39.75" customHeight="1" s="41">
      <c r="A11" s="104" t="inlineStr">
        <is>
          <t>Time since rig last used</t>
        </is>
      </c>
      <c r="B11" s="87" t="inlineStr">
        <is>
          <t>kept</t>
        </is>
      </c>
      <c r="C11" s="104" t="inlineStr">
        <is>
          <t>Every failure was the first or second test after a break of over 8 hours.</t>
        </is>
      </c>
    </row>
    <row r="12" ht="39.75" customHeight="1" s="41">
      <c r="A12" s="105" t="inlineStr">
        <is>
          <t>Rig gland seals at low temperature</t>
        </is>
      </c>
      <c r="B12" s="106" t="inlineStr">
        <is>
          <t>kept</t>
        </is>
      </c>
      <c r="C12" s="105" t="inlineStr">
        <is>
          <t>Deliberate trial: rig warmed 20 min on 4 days. 0 failures in 62 units against 3 in 58.</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C1"/>
    <mergeCell ref="B4:C4"/>
    <mergeCell ref="A2:C2"/>
  </mergeCells>
  <conditionalFormatting sqref="B7:B12">
    <cfRule type="expression" rank="0" priority="2" equalAverage="0" aboveAverage="0" dxfId="5" text="" percent="0" bottom="0">
      <formula>$B7="kept"</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13.xml><?xml version="1.0" encoding="utf-8"?>
<worksheet xmlns="http://schemas.openxmlformats.org/spreadsheetml/2006/main">
  <sheetPr filterMode="0">
    <tabColor rgb="00C9CCD2"/>
    <outlinePr summaryBelow="1" summaryRight="1"/>
    <pageSetUpPr fitToPage="0"/>
  </sheetPr>
  <dimension ref="A1:C10"/>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71" min="1" max="1"/>
    <col width="14" customWidth="1" style="71" min="2" max="2"/>
    <col width="62" customWidth="1" style="71" min="3" max="3"/>
  </cols>
  <sheetData>
    <row r="1" ht="25.5" customHeight="1" s="41">
      <c r="A1" s="72" t="inlineStr">
        <is>
          <t>EXAMPLE C DISPUTED COMPLAINT</t>
        </is>
      </c>
    </row>
    <row r="2" ht="15.75" customHeight="1" s="41">
      <c r="A2" s="73" t="inlineStr">
        <is>
          <t>Worked investigation from Part Three of the book. Read, do not edit.</t>
        </is>
      </c>
    </row>
    <row r="3"/>
    <row r="4" ht="39.75" customHeight="1" s="41">
      <c r="A4" s="91" t="inlineStr">
        <is>
          <t>Symptom</t>
        </is>
      </c>
      <c r="B4" s="104" t="inlineStr">
        <is>
          <t>Customer rejects two parts that the plant’s own final inspection passed the same week</t>
        </is>
      </c>
      <c r="C4" s="92" t="n"/>
    </row>
    <row r="5"/>
    <row r="6" ht="25.5" customHeight="1" s="41">
      <c r="A6" s="77" t="inlineStr">
        <is>
          <t>Candidate cause</t>
        </is>
      </c>
      <c r="B6" s="77" t="inlineStr">
        <is>
          <t>Killed / kept</t>
        </is>
      </c>
      <c r="C6" s="77" t="inlineStr">
        <is>
          <t>Evidence</t>
        </is>
      </c>
    </row>
    <row r="7" ht="39.75" customHeight="1" s="41">
      <c r="A7" s="104" t="inlineStr">
        <is>
          <t>Product defect</t>
        </is>
      </c>
      <c r="B7" s="87" t="inlineStr">
        <is>
          <t>killed</t>
        </is>
      </c>
      <c r="C7" s="104" t="inlineStr">
        <is>
          <t>Both returned parts fall in the marginal grading band; neither is unambiguous.</t>
        </is>
      </c>
    </row>
    <row r="8" ht="39.75" customHeight="1" s="41">
      <c r="A8" s="105" t="inlineStr">
        <is>
          <t>Grader competence</t>
        </is>
      </c>
      <c r="B8" s="106" t="inlineStr">
        <is>
          <t>killed</t>
        </is>
      </c>
      <c r="C8" s="105" t="inlineStr">
        <is>
          <t>One grader is repeatable at 10 of 10. The method, not the person, lacks resolution.</t>
        </is>
      </c>
    </row>
    <row r="9" ht="39.75" customHeight="1" s="41">
      <c r="A9" s="104" t="inlineStr">
        <is>
          <t>Absence of a numeric limit</t>
        </is>
      </c>
      <c r="B9" s="87" t="inlineStr">
        <is>
          <t>kept</t>
        </is>
      </c>
      <c r="C9" s="104" t="inlineStr">
        <is>
          <t>Characteristic judged against a boundary sample by eye, no lighting condition, no reference standard.</t>
        </is>
      </c>
    </row>
    <row r="10" ht="39.75" customHeight="1" s="41">
      <c r="A10" s="105" t="inlineStr">
        <is>
          <t>Read-across</t>
        </is>
      </c>
      <c r="B10" s="106" t="inlineStr">
        <is>
          <t>kept</t>
        </is>
      </c>
      <c r="C10" s="105" t="inlineStr">
        <is>
          <t>11 characteristics across 4 part families assessed by the same method, none studied.</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C1"/>
    <mergeCell ref="B4:C4"/>
    <mergeCell ref="A2:C2"/>
  </mergeCells>
  <conditionalFormatting sqref="B7:B10">
    <cfRule type="expression" rank="0" priority="2" equalAverage="0" aboveAverage="0" dxfId="5" text="" percent="0" bottom="0">
      <formula>$B7="kept"</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14.xml><?xml version="1.0" encoding="utf-8"?>
<worksheet xmlns="http://schemas.openxmlformats.org/spreadsheetml/2006/main">
  <sheetPr filterMode="0">
    <tabColor rgb="0015161A"/>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1" min="1" max="1"/>
    <col width="100" customWidth="1" style="71" min="2" max="2"/>
  </cols>
  <sheetData>
    <row r="1"/>
    <row r="2"/>
    <row r="3"/>
    <row r="4"/>
    <row r="5"/>
    <row r="6" ht="17.35" customHeight="1" s="41">
      <c r="B6" s="107" t="inlineStr">
        <is>
          <t>THE NORWOOD FILES</t>
        </is>
      </c>
    </row>
    <row r="7" ht="15" customHeight="1" s="41">
      <c r="B7" s="108" t="inlineStr">
        <is>
          <t>Companion to Part Three</t>
        </is>
      </c>
    </row>
    <row r="8"/>
    <row r="9" ht="15" customHeight="1" s="41">
      <c r="B9" s="109" t="inlineStr">
        <is>
          <t>Document code: NF-CW3 · Identity: NBSM v1.0 · Baseline: RC-Rev9 · Issued 29 August 2026</t>
        </is>
      </c>
    </row>
    <row r="10"/>
    <row r="11" ht="23.85" customHeight="1" s="41">
      <c r="B11" s="110" t="inlineStr">
        <is>
          <t>This workbook is part of The Norwood Files ecosystem — business novels and working instruments for the people who run quality in manufacturing, written for ISO 9001 and current to the 2026 edition.</t>
        </is>
      </c>
    </row>
    <row r="12"/>
    <row r="13" ht="23.85" customHeight="1" s="41">
      <c r="B13" s="110" t="inlineStr">
        <is>
          <t>The Register Mark — one line, one red square: the process, and the record found in it. In every Norwood chart and register, red means exactly one thing: the finding.</t>
        </is>
      </c>
    </row>
    <row r="14"/>
    <row r="15" ht="15" customHeight="1" s="41">
      <c r="B15" s="110" t="inlineStr">
        <is>
          <t>Cell conventions: blue text = your inputs · black = calculated · yellow fill = attention · red ■ = fired trigger/finding.</t>
        </is>
      </c>
    </row>
    <row r="16"/>
    <row r="17" ht="15" customHeight="1" s="41">
      <c r="B17" s="111" t="inlineStr">
        <is>
          <t>Controlled document. Changes to this instrument follow the Norwood Brand Standards Manual Part XII and NF-ECP 4.6.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&amp;LTHE NORWOOD FILES  ·  ■&amp;RNF-CW3 · NBSM v1.0</oddHeader>
    <oddFooter>&amp;CPage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 Bleigh</dc:creator>
  <dc:title xmlns:dc="http://purl.org/dc/elements/1.1/">The Norwood Files — Companion to Part Three</dc:title>
  <dc:description xmlns:dc="http://purl.org/dc/elements/1.1/">Companion to The Norwood Files, Part Three — The Investigation. Current to the 2026 edition of ISO 9001.</dc:description>
  <dc:subject xmlns:dc="http://purl.org/dc/elements/1.1/">Official Companion Workbook · NF-CW3 · v2.0</dc:subject>
  <dc:language xmlns:dc="http://purl.org/dc/elements/1.1/">en-US</dc:language>
  <dcterms:created xmlns:dcterms="http://purl.org/dc/terms/" xmlns:xsi="http://www.w3.org/2001/XMLSchema-instance" xsi:type="dcterms:W3CDTF">2026-08-09T17:05:50Z</dcterms:created>
  <dcterms:modified xmlns:dcterms="http://purl.org/dc/terms/" xmlns:xsi="http://www.w3.org/2001/XMLSchema-instance" xsi:type="dcterms:W3CDTF">2026-09-06T12:00:00Z</dcterms:modified>
  <cp:lastModifiedBy>Dan Bleigh</cp:lastModifiedBy>
  <cp:category>Official Companion Workbook</cp:category>
  <cp:revision>6</cp:revision>
  <cp:keywords>The Norwood Files; Companion Workbook; ISO 9001; quality management</cp:keywords>
</cp:coreProperties>
</file>