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 Process Flow" sheetId="5" state="visible" r:id="rId5"/>
    <sheet xmlns:r="http://schemas.openxmlformats.org/officeDocument/2006/relationships" name="Rating Scales" sheetId="6" state="visible" r:id="rId6"/>
    <sheet xmlns:r="http://schemas.openxmlformats.org/officeDocument/2006/relationships" name="Form 2 Risk Register" sheetId="7" state="visible" r:id="rId7"/>
    <sheet xmlns:r="http://schemas.openxmlformats.org/officeDocument/2006/relationships" name="Form 3 Action Plan" sheetId="8" state="visible" r:id="rId8"/>
    <sheet xmlns:r="http://schemas.openxmlformats.org/officeDocument/2006/relationships" name="Form 4 Review Log" sheetId="9" state="visible" r:id="rId9"/>
    <sheet xmlns:r="http://schemas.openxmlformats.org/officeDocument/2006/relationships" name="Form 5 Supplier Risk" sheetId="10" state="visible" r:id="rId10"/>
    <sheet xmlns:r="http://schemas.openxmlformats.org/officeDocument/2006/relationships" name="Dashboard" sheetId="11" state="visible" r:id="rId11"/>
    <sheet xmlns:r="http://schemas.openxmlformats.org/officeDocument/2006/relationships" name="Audit Evidence Map" sheetId="12" state="visible" r:id="rId12"/>
    <sheet xmlns:r="http://schemas.openxmlformats.org/officeDocument/2006/relationships" name="EXAMPLE A Machining" sheetId="13" state="visible" r:id="rId13"/>
    <sheet xmlns:r="http://schemas.openxmlformats.org/officeDocument/2006/relationships" name="EXAMPLE B Coating" sheetId="14" state="visible" r:id="rId14"/>
    <sheet xmlns:r="http://schemas.openxmlformats.org/officeDocument/2006/relationships" name="EXAMPLE C Assembly" sheetId="15" state="visible" r:id="rId15"/>
    <sheet xmlns:r="http://schemas.openxmlformats.org/officeDocument/2006/relationships" name="About" sheetId="16" state="visible" r:id="rId16"/>
  </sheets>
  <definedNames>
    <definedName name="_xlnm.Print_Area" localSheetId="0">'Cover'!$A$1:$I$31</definedName>
    <definedName name="_xlnm.Print_Area" localSheetId="1">'WELCOME'!$A$1:$I$72</definedName>
    <definedName name="_xlnm.Print_Area" localSheetId="2">'LICENCE'!$A$1:$I$48</definedName>
    <definedName name="_xlnm._FilterDatabase" localSheetId="6" hidden="1">'Form 2 Risk Register'!$A$4:$S$204</definedName>
    <definedName name="_xlnm._FilterDatabase" localSheetId="7" hidden="1">'Form 3 Action Plan'!$A$4:$L$124</definedName>
    <definedName name="_xlnm.Print_Area" localSheetId="10">'Dashboard'!$A$1:$J$44</definedName>
    <definedName name="_xlnm._FilterDatabase" localSheetId="12" hidden="1">'EXAMPLE A Machining'!$A$4:$T$36</definedName>
    <definedName name="_xlnm._FilterDatabase" localSheetId="13" hidden="1">'EXAMPLE B Coating'!$A$4:$T$30</definedName>
    <definedName name="_xlnm._FilterDatabase" localSheetId="14" hidden="1">'EXAMPLE C Assembly'!$A$4:$T$28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0%"/>
  </numFmts>
  <fonts count="4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sz val="10"/>
    </font>
    <font>
      <name val="Arial"/>
      <charset val="1"/>
      <family val="0"/>
      <b val="1"/>
      <color rgb="FF9C0006"/>
      <sz val="9"/>
    </font>
    <font>
      <name val="Arial"/>
      <charset val="1"/>
      <family val="0"/>
      <sz val="9"/>
    </font>
    <font>
      <name val="Arial"/>
      <charset val="1"/>
      <family val="0"/>
      <b val="1"/>
      <color rgb="FFFFFFFF"/>
      <sz val="8.5"/>
    </font>
    <font>
      <name val="Arial"/>
      <charset val="1"/>
      <family val="0"/>
      <b val="1"/>
      <color rgb="FF1F3864"/>
      <sz val="22"/>
    </font>
    <font>
      <name val="Arial"/>
      <charset val="1"/>
      <family val="0"/>
      <color rgb="FF6A6A6A"/>
      <sz val="8"/>
    </font>
    <font>
      <name val="Arial"/>
      <charset val="1"/>
      <family val="0"/>
      <b val="1"/>
      <color rgb="FF1F3864"/>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6">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D9D9D9"/>
        <bgColor rgb="FFDCE3EE"/>
      </patternFill>
    </fill>
    <fill>
      <patternFill patternType="solid">
        <fgColor rgb="FFFFE699"/>
        <bgColor rgb="FFFFC7CE"/>
      </patternFill>
    </fill>
    <fill>
      <patternFill patternType="solid">
        <fgColor rgb="FFF2F2F2"/>
        <bgColor rgb="FFF2F4F8"/>
      </patternFill>
    </fill>
    <fill>
      <patternFill patternType="solid">
        <fgColor rgb="FFC0392B"/>
        <bgColor rgb="FF993366"/>
      </patternFill>
    </fill>
    <fill>
      <patternFill patternType="solid">
        <fgColor rgb="FFD68910"/>
        <bgColor rgb="FFFF6600"/>
      </patternFill>
    </fill>
    <fill>
      <patternFill patternType="solid">
        <fgColor rgb="FF1E8449"/>
        <bgColor rgb="FF008080"/>
      </patternFill>
    </fill>
    <fill>
      <patternFill patternType="solid">
        <fgColor rgb="FFF2F4F8"/>
        <bgColor rgb="FFF2F2F2"/>
      </patternFill>
    </fill>
    <fill>
      <patternFill patternType="solid">
        <fgColor rgb="FFF7F7F5"/>
        <bgColor rgb="FFF2F4F8"/>
      </patternFill>
    </fill>
    <fill>
      <patternFill patternType="solid">
        <fgColor rgb="FFDCE3EE"/>
        <bgColor rgb="FFD9D9D9"/>
      </patternFill>
    </fill>
    <fill>
      <patternFill patternType="solid">
        <fgColor rgb="FF15161A"/>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0" fontId="9" fillId="3" borderId="0" applyAlignment="1" pivotButton="0" quotePrefix="0" xfId="0">
      <alignment horizontal="center" vertical="center"/>
    </xf>
    <xf numFmtId="0" fontId="11" fillId="6" borderId="1" applyAlignment="1" pivotButton="0" quotePrefix="0" xfId="0">
      <alignment horizontal="center" vertical="center" wrapText="1"/>
    </xf>
    <xf numFmtId="0" fontId="11" fillId="0" borderId="1" applyAlignment="1" pivotButton="0" quotePrefix="0" xfId="0">
      <alignment horizontal="center" vertical="center"/>
    </xf>
    <xf numFmtId="0" fontId="7" fillId="5" borderId="1" applyAlignment="1" pivotButton="0" quotePrefix="0" xfId="0">
      <alignment horizontal="general" vertical="top" wrapText="1"/>
    </xf>
    <xf numFmtId="0" fontId="5" fillId="7" borderId="0" applyAlignment="1" pivotButton="0" quotePrefix="0" xfId="0">
      <alignment horizontal="general" vertical="top" wrapText="1"/>
    </xf>
    <xf numFmtId="0" fontId="9" fillId="2" borderId="0" applyAlignment="1" pivotButton="0" quotePrefix="0" xfId="0">
      <alignment horizontal="center" vertical="center"/>
    </xf>
    <xf numFmtId="0" fontId="11"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center" vertical="center" wrapText="1"/>
    </xf>
    <xf numFmtId="0" fontId="10" fillId="0" borderId="1" applyAlignment="1" applyProtection="1" pivotButton="0" quotePrefix="0" xfId="0">
      <alignment horizontal="center" vertical="center"/>
      <protection locked="0" hidden="0"/>
    </xf>
    <xf numFmtId="0" fontId="10" fillId="0" borderId="1" applyAlignment="1" applyProtection="1" pivotButton="0" quotePrefix="0" xfId="0">
      <alignment horizontal="general" vertical="top" wrapText="1"/>
      <protection locked="0" hidden="0"/>
    </xf>
    <xf numFmtId="0" fontId="12" fillId="0" borderId="1" applyAlignment="1" pivotButton="0" quotePrefix="0" xfId="0">
      <alignment horizontal="center" vertical="center" wrapText="1"/>
    </xf>
    <xf numFmtId="164" fontId="10" fillId="4"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5" fillId="8" borderId="0" applyAlignment="1" pivotButton="0" quotePrefix="0" xfId="0">
      <alignment horizontal="general" vertical="top" wrapText="1"/>
    </xf>
    <xf numFmtId="164" fontId="10" fillId="4"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general" vertical="top" wrapText="1"/>
      <protection locked="0" hidden="0"/>
    </xf>
    <xf numFmtId="0" fontId="10" fillId="4" borderId="1" applyAlignment="1" applyProtection="1" pivotButton="0" quotePrefix="0" xfId="0">
      <alignment horizontal="center" vertical="center" wrapText="1"/>
      <protection locked="0" hidden="0"/>
    </xf>
    <xf numFmtId="0" fontId="13" fillId="0" borderId="1" applyAlignment="1" pivotButton="0" quotePrefix="0" xfId="0">
      <alignment horizontal="general" vertical="top" wrapText="1"/>
    </xf>
    <xf numFmtId="0" fontId="14" fillId="2" borderId="0" applyAlignment="1" pivotButton="0" quotePrefix="0" xfId="0">
      <alignment horizontal="center" vertical="center"/>
    </xf>
    <xf numFmtId="0" fontId="14" fillId="9" borderId="0" applyAlignment="1" pivotButton="0" quotePrefix="0" xfId="0">
      <alignment horizontal="center" vertical="center"/>
    </xf>
    <xf numFmtId="0" fontId="14" fillId="10" borderId="0" applyAlignment="1" pivotButton="0" quotePrefix="0" xfId="0">
      <alignment horizontal="center" vertical="center"/>
    </xf>
    <xf numFmtId="0" fontId="14" fillId="11" borderId="0" applyAlignment="1" pivotButton="0" quotePrefix="0" xfId="0">
      <alignment horizontal="center" vertical="center"/>
    </xf>
    <xf numFmtId="0" fontId="15" fillId="12" borderId="0" applyAlignment="1" pivotButton="0" quotePrefix="0" xfId="0">
      <alignment horizontal="center" vertical="center"/>
    </xf>
    <xf numFmtId="165" fontId="15" fillId="12" borderId="0" applyAlignment="1" pivotButton="0" quotePrefix="0" xfId="0">
      <alignment horizontal="center" vertical="center"/>
    </xf>
    <xf numFmtId="0" fontId="16" fillId="0" borderId="0" applyAlignment="1" pivotButton="0" quotePrefix="0" xfId="0">
      <alignment horizontal="center" vertical="center"/>
    </xf>
    <xf numFmtId="0" fontId="5" fillId="13" borderId="0" applyAlignment="1" pivotButton="0" quotePrefix="0" xfId="0">
      <alignment horizontal="general" vertical="top" wrapText="1"/>
    </xf>
    <xf numFmtId="0" fontId="17" fillId="0" borderId="0" applyAlignment="1" pivotButton="0" quotePrefix="0" xfId="0">
      <alignment horizontal="general" vertical="bottom"/>
    </xf>
    <xf numFmtId="0" fontId="11" fillId="6" borderId="1" applyAlignment="1" pivotButton="0" quotePrefix="0" xfId="0">
      <alignment horizontal="general" vertical="bottom"/>
    </xf>
    <xf numFmtId="0" fontId="13"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11" fillId="8" borderId="1" applyAlignment="1" pivotButton="0" quotePrefix="0" xfId="0">
      <alignment horizontal="center" vertical="center" wrapText="1"/>
    </xf>
    <xf numFmtId="0" fontId="7" fillId="8" borderId="1" applyAlignment="1" pivotButton="0" quotePrefix="0" xfId="0">
      <alignment horizontal="general" vertical="top" wrapText="1"/>
    </xf>
    <xf numFmtId="0" fontId="7" fillId="8" borderId="1" applyAlignment="1" pivotButton="0" quotePrefix="0" xfId="0">
      <alignment horizontal="center" vertical="center" wrapText="1"/>
    </xf>
    <xf numFmtId="0" fontId="11" fillId="14" borderId="0" applyAlignment="1" pivotButton="0" quotePrefix="0" xfId="0">
      <alignment horizontal="general" vertical="center" indent="1"/>
    </xf>
    <xf numFmtId="0" fontId="0" fillId="0" borderId="1" applyAlignment="1" pivotButton="0" quotePrefix="0" xfId="0">
      <alignment horizontal="general" vertical="bottom"/>
    </xf>
    <xf numFmtId="0" fontId="7" fillId="0" borderId="1" applyAlignment="1" pivotButton="0" quotePrefix="0" xfId="0">
      <alignment horizontal="center" vertical="center"/>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0" fillId="0" borderId="0" pivotButton="0" quotePrefix="0" xfId="0"/>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0" fillId="0" borderId="9" pivotButton="0" quotePrefix="0" xfId="0"/>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0" fillId="0" borderId="10" pivotButton="0" quotePrefix="0" xfId="0"/>
    <xf numFmtId="0" fontId="32" fillId="0"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3" fillId="0" borderId="0" applyAlignment="1" pivotButton="0" quotePrefix="0" xfId="0">
      <alignment horizontal="left" vertical="top" wrapText="1"/>
    </xf>
    <xf numFmtId="0" fontId="37" fillId="0" borderId="0" applyAlignment="1" pivotButton="0" quotePrefix="0" xfId="0">
      <alignment horizontal="center" vertical="center"/>
    </xf>
    <xf numFmtId="0" fontId="38" fillId="15" borderId="0" applyAlignment="1" pivotButton="0" quotePrefix="0" xfId="0">
      <alignment horizontal="left" vertical="center"/>
    </xf>
    <xf numFmtId="0" fontId="0" fillId="15" borderId="0" pivotButton="0" quotePrefix="0" xfId="0"/>
    <xf numFmtId="0" fontId="39" fillId="0" borderId="10" applyAlignment="1" pivotButton="0" quotePrefix="0" xfId="0">
      <alignment horizontal="left" vertical="top" wrapText="1"/>
    </xf>
    <xf numFmtId="0" fontId="40" fillId="0" borderId="10" applyAlignment="1" pivotButton="0" quotePrefix="0" xfId="0">
      <alignment horizontal="left" vertical="top" wrapText="1"/>
    </xf>
    <xf numFmtId="0" fontId="41" fillId="0" borderId="0" applyAlignment="1" pivotButton="0" quotePrefix="0" xfId="0">
      <alignment horizontal="left" vertical="top" wrapText="1"/>
    </xf>
    <xf numFmtId="0" fontId="36" fillId="0" borderId="0" applyAlignment="1" pivotButton="0" quotePrefix="0" xfId="0">
      <alignment horizontal="left" vertical="top" wrapText="1"/>
    </xf>
    <xf numFmtId="0" fontId="42" fillId="0" borderId="11" applyAlignment="1" pivotButton="0" quotePrefix="0" xfId="0">
      <alignment horizontal="center" vertical="center" wrapText="1"/>
    </xf>
    <xf numFmtId="0" fontId="0" fillId="0" borderId="11" pivotButton="0" quotePrefix="0" xfId="0"/>
    <xf numFmtId="0" fontId="26" fillId="0" borderId="0" applyAlignment="1" pivotButton="0" quotePrefix="0" xfId="0">
      <alignment horizontal="left" vertical="top" wrapText="1"/>
    </xf>
    <xf numFmtId="0" fontId="32" fillId="0" borderId="10" applyAlignment="1" pivotButton="0" quotePrefix="0" xfId="0">
      <alignment horizontal="left" vertical="center"/>
    </xf>
    <xf numFmtId="0" fontId="33" fillId="0" borderId="10" applyAlignment="1" pivotButton="0" quotePrefix="0" xfId="0">
      <alignment horizontal="left" vertical="center"/>
    </xf>
    <xf numFmtId="0" fontId="40" fillId="0" borderId="0" applyAlignment="1" pivotButton="0" quotePrefix="0" xfId="0">
      <alignment horizontal="left" vertical="top" wrapText="1"/>
    </xf>
    <xf numFmtId="0" fontId="43"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0" fontId="9" fillId="3" borderId="0" applyAlignment="1" pivotButton="0" quotePrefix="0" xfId="0">
      <alignment horizontal="center" vertical="center"/>
    </xf>
    <xf numFmtId="0" fontId="11" fillId="6" borderId="1" applyAlignment="1" pivotButton="0" quotePrefix="0" xfId="0">
      <alignment horizontal="center" vertical="center" wrapText="1"/>
    </xf>
    <xf numFmtId="0" fontId="11" fillId="0" borderId="1" applyAlignment="1" pivotButton="0" quotePrefix="0" xfId="0">
      <alignment horizontal="center" vertical="center"/>
    </xf>
    <xf numFmtId="0" fontId="7" fillId="5" borderId="1" applyAlignment="1" pivotButton="0" quotePrefix="0" xfId="0">
      <alignment horizontal="general" vertical="top" wrapText="1"/>
    </xf>
    <xf numFmtId="0" fontId="5" fillId="7" borderId="0" applyAlignment="1" pivotButton="0" quotePrefix="0" xfId="0">
      <alignment horizontal="general" vertical="top" wrapText="1"/>
    </xf>
    <xf numFmtId="0" fontId="9" fillId="2" borderId="0" applyAlignment="1" pivotButton="0" quotePrefix="0" xfId="0">
      <alignment horizontal="center" vertical="center"/>
    </xf>
    <xf numFmtId="0" fontId="11" fillId="0" borderId="1" applyAlignment="1" pivotButton="0" quotePrefix="0" xfId="0">
      <alignment horizontal="general" vertical="bottom"/>
    </xf>
    <xf numFmtId="0" fontId="7" fillId="0" borderId="1" applyAlignment="1" pivotButton="0" quotePrefix="0" xfId="0">
      <alignment horizontal="general" vertical="bottom"/>
    </xf>
    <xf numFmtId="0" fontId="0" fillId="0" borderId="4" pivotButton="0" quotePrefix="0" xfId="0"/>
    <xf numFmtId="0" fontId="0" fillId="0" borderId="5" pivotButton="0" quotePrefix="0" xfId="0"/>
    <xf numFmtId="0" fontId="11" fillId="0" borderId="1" applyAlignment="1" pivotButton="0" quotePrefix="0" xfId="0">
      <alignment horizontal="center" vertical="center" wrapText="1"/>
    </xf>
    <xf numFmtId="0" fontId="10" fillId="0" borderId="1" applyAlignment="1" applyProtection="1" pivotButton="0" quotePrefix="0" xfId="0">
      <alignment horizontal="center" vertical="center"/>
      <protection locked="0" hidden="0"/>
    </xf>
    <xf numFmtId="0" fontId="10" fillId="0" borderId="1" applyAlignment="1" applyProtection="1" pivotButton="0" quotePrefix="0" xfId="0">
      <alignment horizontal="general" vertical="top" wrapText="1"/>
      <protection locked="0" hidden="0"/>
    </xf>
    <xf numFmtId="0" fontId="12" fillId="0" borderId="1" applyAlignment="1" pivotButton="0" quotePrefix="0" xfId="0">
      <alignment horizontal="center" vertical="center" wrapText="1"/>
    </xf>
    <xf numFmtId="164" fontId="10" fillId="4"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5" fillId="8" borderId="0" applyAlignment="1" pivotButton="0" quotePrefix="0" xfId="0">
      <alignment horizontal="general" vertical="top" wrapText="1"/>
    </xf>
    <xf numFmtId="164" fontId="10" fillId="4"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general" vertical="top" wrapText="1"/>
      <protection locked="0" hidden="0"/>
    </xf>
    <xf numFmtId="0" fontId="10" fillId="4" borderId="1" applyAlignment="1" applyProtection="1" pivotButton="0" quotePrefix="0" xfId="0">
      <alignment horizontal="center" vertical="center" wrapText="1"/>
      <protection locked="0" hidden="0"/>
    </xf>
    <xf numFmtId="0" fontId="13" fillId="0" borderId="1" applyAlignment="1" pivotButton="0" quotePrefix="0" xfId="0">
      <alignment horizontal="general" vertical="top" wrapText="1"/>
    </xf>
    <xf numFmtId="0" fontId="0" fillId="0" borderId="7" applyProtection="1" pivotButton="0" quotePrefix="0" xfId="0">
      <protection locked="0" hidden="0"/>
    </xf>
    <xf numFmtId="0" fontId="0" fillId="0" borderId="8" applyProtection="1" pivotButton="0" quotePrefix="0" xfId="0">
      <protection locked="0" hidden="0"/>
    </xf>
    <xf numFmtId="0" fontId="14" fillId="2" borderId="0" applyAlignment="1" pivotButton="0" quotePrefix="0" xfId="0">
      <alignment horizontal="center" vertical="center"/>
    </xf>
    <xf numFmtId="0" fontId="14" fillId="9" borderId="0" applyAlignment="1" pivotButton="0" quotePrefix="0" xfId="0">
      <alignment horizontal="center" vertical="center"/>
    </xf>
    <xf numFmtId="0" fontId="14" fillId="10" borderId="0" applyAlignment="1" pivotButton="0" quotePrefix="0" xfId="0">
      <alignment horizontal="center" vertical="center"/>
    </xf>
    <xf numFmtId="0" fontId="14" fillId="11" borderId="0" applyAlignment="1" pivotButton="0" quotePrefix="0" xfId="0">
      <alignment horizontal="center" vertical="center"/>
    </xf>
    <xf numFmtId="0" fontId="15" fillId="12" borderId="0" applyAlignment="1" pivotButton="0" quotePrefix="0" xfId="0">
      <alignment horizontal="center" vertical="center"/>
    </xf>
    <xf numFmtId="165" fontId="15" fillId="12" borderId="0" applyAlignment="1" pivotButton="0" quotePrefix="0" xfId="0">
      <alignment horizontal="center" vertical="center"/>
    </xf>
    <xf numFmtId="0" fontId="16" fillId="0" borderId="0" applyAlignment="1" pivotButton="0" quotePrefix="0" xfId="0">
      <alignment horizontal="center" vertical="center"/>
    </xf>
    <xf numFmtId="0" fontId="5" fillId="13" borderId="0" applyAlignment="1" pivotButton="0" quotePrefix="0" xfId="0">
      <alignment horizontal="general" vertical="top" wrapText="1"/>
    </xf>
    <xf numFmtId="0" fontId="17" fillId="0" borderId="0" applyAlignment="1" pivotButton="0" quotePrefix="0" xfId="0">
      <alignment horizontal="general" vertical="bottom"/>
    </xf>
    <xf numFmtId="0" fontId="11" fillId="6" borderId="1" applyAlignment="1" pivotButton="0" quotePrefix="0" xfId="0">
      <alignment horizontal="general" vertical="bottom"/>
    </xf>
    <xf numFmtId="0" fontId="13"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11" fillId="8" borderId="1" applyAlignment="1" pivotButton="0" quotePrefix="0" xfId="0">
      <alignment horizontal="center" vertical="center" wrapText="1"/>
    </xf>
    <xf numFmtId="0" fontId="7" fillId="8" borderId="1" applyAlignment="1" pivotButton="0" quotePrefix="0" xfId="0">
      <alignment horizontal="general" vertical="top" wrapText="1"/>
    </xf>
    <xf numFmtId="0" fontId="7" fillId="8" borderId="1" applyAlignment="1" pivotButton="0" quotePrefix="0" xfId="0">
      <alignment horizontal="center" vertical="center" wrapText="1"/>
    </xf>
    <xf numFmtId="0" fontId="11" fillId="14" borderId="0" applyAlignment="1" pivotButton="0" quotePrefix="0" xfId="0">
      <alignment horizontal="general" vertical="center" indent="1"/>
    </xf>
    <xf numFmtId="0" fontId="0" fillId="0" borderId="1" applyAlignment="1" pivotButton="0" quotePrefix="0" xfId="0">
      <alignment horizontal="general" vertical="bottom"/>
    </xf>
    <xf numFmtId="0" fontId="7" fillId="0" borderId="1" applyAlignment="1" pivotButton="0" quotePrefix="0" xfId="0">
      <alignment horizontal="center" vertical="center"/>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2E5C8A"/>
          <bgColor rgb="FF000000"/>
        </patternFill>
      </fill>
    </dxf>
    <dxf>
      <fill>
        <patternFill patternType="solid">
          <fgColor rgb="FFFFFDF0"/>
          <bgColor rgb="FF000000"/>
        </patternFill>
      </fill>
    </dxf>
    <dxf>
      <fill>
        <patternFill patternType="solid">
          <fgColor rgb="FF0000CC"/>
          <bgColor rgb="FF000000"/>
        </patternFill>
      </fill>
    </dxf>
    <dxf>
      <fill>
        <patternFill patternType="solid">
          <fgColor rgb="FFFFFFFF"/>
          <bgColor rgb="FF000000"/>
        </patternFill>
      </fill>
    </dxf>
    <dxf>
      <fill>
        <patternFill patternType="solid">
          <bgColor rgb="FF000000"/>
        </patternFill>
      </fill>
    </dxf>
    <dxf>
      <fill>
        <patternFill patternType="solid">
          <fgColor rgb="FF9C0006"/>
          <bgColor rgb="FF000000"/>
        </patternFill>
      </fill>
    </dxf>
    <dxf>
      <font>
        <name val="Arial"/>
        <charset val="1"/>
        <family val="0"/>
        <b val="1"/>
        <color rgb="FF9C0006"/>
        <sz val="10"/>
      </font>
      <fill>
        <patternFill>
          <bgColor rgb="FFFFC7CE"/>
        </patternFill>
      </fill>
    </dxf>
    <dxf>
      <font>
        <name val="Arial"/>
        <charset val="1"/>
        <family val="0"/>
        <b val="1"/>
        <color rgb="FF006100"/>
        <sz val="10"/>
      </font>
      <fill>
        <patternFill>
          <bgColor rgb="FFC6EFCE"/>
        </patternFill>
      </fill>
    </dxf>
    <dxf>
      <fill>
        <patternFill>
          <bgColor rgb="FFFFC7CE"/>
        </patternFill>
      </fill>
    </dxf>
    <dxf>
      <fill>
        <patternFill>
          <bgColor rgb="FFFFE699"/>
        </patternFill>
      </fill>
    </dxf>
    <dxf>
      <fill>
        <patternFill>
          <bgColor rgb="FFC6EFCE"/>
        </patternFill>
      </fill>
    </dxf>
    <dxf>
      <fill>
        <patternFill patternType="solid">
          <fgColor rgb="FFDCE3EE"/>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006100"/>
          <bgColor rgb="FF000000"/>
        </patternFill>
      </fill>
    </dxf>
  </dxfs>
  <colors>
    <indexedColors>
      <rgbColor rgb="FF000000"/>
      <rgbColor rgb="FFFFFFFF"/>
      <rgbColor rgb="FFFF0000"/>
      <rgbColor rgb="FF00FF00"/>
      <rgbColor rgb="FF0000CC"/>
      <rgbColor rgb="FFFFFF00"/>
      <rgbColor rgb="FFFF00FF"/>
      <rgbColor rgb="FF00FFFF"/>
      <rgbColor rgb="FF9C0006"/>
      <rgbColor rgb="FF006100"/>
      <rgbColor rgb="FF000080"/>
      <rgbColor rgb="FF808000"/>
      <rgbColor rgb="FF800080"/>
      <rgbColor rgb="FF008080"/>
      <rgbColor rgb="FFBFBFBF"/>
      <rgbColor rgb="FF878787"/>
      <rgbColor rgb="FF9999FF"/>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DCE3EE"/>
      <rgbColor rgb="FFF7F7F5"/>
      <rgbColor rgb="FFCC99FF"/>
      <rgbColor rgb="FFFFC7CE"/>
      <rgbColor rgb="FF4F81BD"/>
      <rgbColor rgb="FF33CCCC"/>
      <rgbColor rgb="FF99CC00"/>
      <rgbColor rgb="FFFFCC00"/>
      <rgbColor rgb="FFD68910"/>
      <rgbColor rgb="FFFF6600"/>
      <rgbColor rgb="FF6A6A6A"/>
      <rgbColor rgb="FF777777"/>
      <rgbColor rgb="FF1F3864"/>
      <rgbColor rgb="FF1E8449"/>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Risk by process step—before and after action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Dashboard!B47</f>
              <strCache>
                <ptCount val="1"/>
                <pt idx="0">
                  <v>Initial RPN</v>
                </pt>
              </strCache>
            </strRef>
          </tx>
          <spPr>
            <a:solidFill xmlns:a="http://schemas.openxmlformats.org/drawingml/2006/main">
              <a:srgbClr val="c0392b"/>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Dashboard!$A$48:$A$61</f>
              <strCache>
                <ptCount val="14"/>
                <pt idx="0">
                  <v>Step 1</v>
                </pt>
                <pt idx="1">
                  <v>Step 2</v>
                </pt>
                <pt idx="2">
                  <v>Step 3</v>
                </pt>
                <pt idx="3">
                  <v>Step 4</v>
                </pt>
                <pt idx="4">
                  <v>Step 5</v>
                </pt>
                <pt idx="5">
                  <v>Step 6</v>
                </pt>
                <pt idx="6">
                  <v>Step 7</v>
                </pt>
                <pt idx="7">
                  <v>Step 8</v>
                </pt>
                <pt idx="8">
                  <v>Step 9</v>
                </pt>
                <pt idx="9">
                  <v>Step 10</v>
                </pt>
                <pt idx="10">
                  <v>Step 11</v>
                </pt>
                <pt idx="11">
                  <v>Step 12</v>
                </pt>
                <pt idx="12">
                  <v>Step 13</v>
                </pt>
                <pt idx="13">
                  <v>Step 14</v>
                </pt>
              </strCache>
            </strRef>
          </cat>
          <val>
            <numRef>
              <f>Dashboard!$B$48:$B$61</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ser>
          <idx val="1"/>
          <order val="1"/>
          <tx>
            <strRef>
              <f>Dashboard!C47</f>
              <strCache>
                <ptCount val="1"/>
                <pt idx="0">
                  <v>Residual RPN</v>
                </pt>
              </strCache>
            </strRef>
          </tx>
          <spPr>
            <a:solidFill xmlns:a="http://schemas.openxmlformats.org/drawingml/2006/main">
              <a:srgbClr val="1e844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Dashboard!$A$48:$A$61</f>
              <strCache>
                <ptCount val="14"/>
                <pt idx="0">
                  <v>Step 1</v>
                </pt>
                <pt idx="1">
                  <v>Step 2</v>
                </pt>
                <pt idx="2">
                  <v>Step 3</v>
                </pt>
                <pt idx="3">
                  <v>Step 4</v>
                </pt>
                <pt idx="4">
                  <v>Step 5</v>
                </pt>
                <pt idx="5">
                  <v>Step 6</v>
                </pt>
                <pt idx="6">
                  <v>Step 7</v>
                </pt>
                <pt idx="7">
                  <v>Step 8</v>
                </pt>
                <pt idx="8">
                  <v>Step 9</v>
                </pt>
                <pt idx="9">
                  <v>Step 10</v>
                </pt>
                <pt idx="10">
                  <v>Step 11</v>
                </pt>
                <pt idx="11">
                  <v>Step 12</v>
                </pt>
                <pt idx="12">
                  <v>Step 13</v>
                </pt>
                <pt idx="13">
                  <v>Step 14</v>
                </pt>
              </strCache>
            </strRef>
          </cat>
          <val>
            <numRef>
              <f>Dashboard!$C$48:$C$61</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gapWidth val="60"/>
        <overlap val="0"/>
        <axId val="51445829"/>
        <axId val="35863172"/>
      </barChart>
      <catAx>
        <axId val="5144582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5863172"/>
        <crosses val="autoZero"/>
        <auto val="1"/>
        <lblAlgn val="ctr"/>
        <lblOffset val="100"/>
        <noMultiLvlLbl val="0"/>
      </catAx>
      <valAx>
        <axId val="3586317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144582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Trigger rule outcome</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Dashboard!B64</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c0392b"/>
              </a:solidFill>
              <a:ln xmlns:a="http://schemas.openxmlformats.org/drawingml/2006/main" w="0">
                <a:noFill/>
                <a:prstDash val="solid"/>
              </a:ln>
            </spPr>
          </dPt>
          <dPt>
            <idx val="1"/>
            <spPr>
              <a:solidFill xmlns:a="http://schemas.openxmlformats.org/drawingml/2006/main">
                <a:srgbClr val="1e8449"/>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Dashboard!$A$65:$A$66</f>
              <strCache>
                <ptCount val="2"/>
                <pt idx="0">
                  <v>Action required</v>
                </pt>
                <pt idx="1">
                  <v>Monitor</v>
                </pt>
              </strCache>
            </strRef>
          </cat>
          <val>
            <numRef>
              <f>Dashboard!$B$65:$B$66</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Failure modes by severity band</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Dashboard!B69</f>
              <strCache>
                <ptCount val="1"/>
                <pt idx="0">
                  <v>Failure modes</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Dashboard!$A$70:$A$73</f>
              <strCache>
                <ptCount val="4"/>
                <pt idx="0">
                  <v>S 1–4  minor</v>
                </pt>
                <pt idx="1">
                  <v>S 5–6  rework</v>
                </pt>
                <pt idx="2">
                  <v>S 7–8  loss of function</v>
                </pt>
                <pt idx="3">
                  <v>S 9–10  escape / safety</v>
                </pt>
              </strCache>
            </strRef>
          </cat>
          <val>
            <numRef>
              <f>Dashboard!$B$70:$B$73</f>
              <numCache>
                <formatCode>General</formatCode>
                <ptCount val="4"/>
                <pt idx="0">
                  <v>0</v>
                </pt>
                <pt idx="1">
                  <v>0</v>
                </pt>
                <pt idx="2">
                  <v>0</v>
                </pt>
                <pt idx="3">
                  <v>0</v>
                </pt>
              </numCache>
            </numRef>
          </val>
        </ser>
        <gapWidth val="50"/>
        <overlap val="0"/>
        <axId val="38163122"/>
        <axId val="73172774"/>
      </barChart>
      <catAx>
        <axId val="3816312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73172774"/>
        <crosses val="autoZero"/>
        <auto val="1"/>
        <lblAlgn val="ctr"/>
        <lblOffset val="100"/>
        <noMultiLvlLbl val="0"/>
      </catAx>
      <valAx>
        <axId val="7317277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816312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Actions by hierarchy level (1 strongest)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Dashboard!B76</f>
              <strCache>
                <ptCount val="1"/>
                <pt idx="0">
                  <v>Actions</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Dashboard!$A$77:$A$81</f>
              <strCache>
                <ptCount val="5"/>
                <pt idx="0">
                  <v>5 Procedure</v>
                </pt>
                <pt idx="1">
                  <v>4 Detection</v>
                </pt>
                <pt idx="2">
                  <v>3 Automated control</v>
                </pt>
                <pt idx="3">
                  <v>2 Error-proof</v>
                </pt>
                <pt idx="4">
                  <v>1 Eliminate cause</v>
                </pt>
              </strCache>
            </strRef>
          </cat>
          <val>
            <numRef>
              <f>Dashboard!$B$77:$B$81</f>
              <numCache>
                <formatCode>General</formatCode>
                <ptCount val="5"/>
                <pt idx="0">
                  <v>0</v>
                </pt>
                <pt idx="1">
                  <v>0</v>
                </pt>
                <pt idx="2">
                  <v>0</v>
                </pt>
                <pt idx="3">
                  <v>0</v>
                </pt>
                <pt idx="4">
                  <v>0</v>
                </pt>
              </numCache>
            </numRef>
          </val>
        </ser>
        <gapWidth val="50"/>
        <overlap val="0"/>
        <axId val="66618547"/>
        <axId val="42461273"/>
      </barChart>
      <catAx>
        <axId val="6661854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2461273"/>
        <crosses val="autoZero"/>
        <auto val="1"/>
        <lblAlgn val="ctr"/>
        <lblOffset val="100"/>
        <noMultiLvlLbl val="0"/>
      </catAx>
      <valAx>
        <axId val="42461273"/>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661854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6</col>
      <colOff>503640</colOff>
      <row>24</row>
      <rowOff>46440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row>
      <rowOff>0</rowOff>
    </from>
    <to>
      <col>9</col>
      <colOff>768600</colOff>
      <row>24</row>
      <rowOff>46440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5</col>
      <colOff>559080</colOff>
      <row>40</row>
      <rowOff>67320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5</col>
      <colOff>0</colOff>
      <row>26</row>
      <rowOff>0</rowOff>
    </from>
    <to>
      <col>11</col>
      <colOff>370440</colOff>
      <row>40</row>
      <rowOff>67320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18" customHeight="1" s="55"/>
    <row r="3" ht="44" customHeight="1" s="55">
      <c r="E3" s="56" t="inlineStr">
        <is>
          <t>THE NORWOOD FILES</t>
        </is>
      </c>
      <c r="H3" s="57" t="inlineStr">
        <is>
          <t>NF-CW1  ·  v1.0</t>
        </is>
      </c>
    </row>
    <row r="4" ht="6" customHeight="1" s="55">
      <c r="B4" s="58" t="n"/>
      <c r="C4" s="58" t="n"/>
      <c r="D4" s="58" t="n"/>
      <c r="E4" s="58" t="n"/>
      <c r="F4" s="58" t="n"/>
      <c r="G4" s="58" t="n"/>
      <c r="H4" s="58" t="n"/>
    </row>
    <row r="5" ht="14" customHeight="1" s="55"/>
    <row r="6" ht="14" customHeight="1" s="55"/>
    <row r="7" ht="14" customHeight="1" s="55"/>
    <row r="8" ht="14" customHeight="1" s="55"/>
    <row r="9" ht="20" customHeight="1" s="55">
      <c r="B9" s="59" t="inlineStr">
        <is>
          <t>OFFICIAL COMPANION WORKBOOK</t>
        </is>
      </c>
    </row>
    <row r="11" ht="46" customHeight="1" s="55">
      <c r="B11" s="60" t="inlineStr">
        <is>
          <t>The Row That Wasn’t There</t>
        </is>
      </c>
    </row>
    <row r="12" ht="17" customHeight="1" s="55">
      <c r="B12" s="61" t="inlineStr">
        <is>
          <t>A Novel About Process Risk, Corrective Action and the Register That Missed the Factory</t>
        </is>
      </c>
    </row>
    <row r="13" ht="17" customHeight="1" s="55"/>
    <row r="15" ht="26" customHeight="1" s="55">
      <c r="B15" s="62" t="inlineStr">
        <is>
          <t>Companion to Book One</t>
        </is>
      </c>
    </row>
    <row r="16" ht="16" customHeight="1" s="55">
      <c r="B16" s="63" t="inlineStr">
        <is>
          <t>The forms from the book, with the rules already written into the formulas.</t>
        </is>
      </c>
    </row>
    <row r="19" ht="6" customHeight="1" s="55">
      <c r="B19" s="64" t="n"/>
      <c r="C19" s="64" t="n"/>
      <c r="D19" s="64" t="n"/>
      <c r="E19" s="64" t="n"/>
      <c r="F19" s="64" t="n"/>
      <c r="G19" s="64" t="n"/>
      <c r="H19" s="64" t="n"/>
    </row>
    <row r="21" ht="18" customHeight="1" s="55">
      <c r="B21" s="65" t="inlineStr">
        <is>
          <t>REVISION</t>
        </is>
      </c>
      <c r="C21" s="66" t="inlineStr">
        <is>
          <t>v1.0  ·  NF-CW1</t>
        </is>
      </c>
    </row>
    <row r="22" ht="18" customHeight="1" s="55">
      <c r="B22" s="65" t="inlineStr">
        <is>
          <t>EDITION</t>
        </is>
      </c>
      <c r="C22" s="66" t="inlineStr">
        <is>
          <t>Current to the 2026 edition of ISO 9001</t>
        </is>
      </c>
    </row>
    <row r="23" ht="18" customHeight="1" s="55">
      <c r="B23" s="65" t="inlineStr">
        <is>
          <t>BASELINE</t>
        </is>
      </c>
      <c r="C23" s="66" t="inlineStr">
        <is>
          <t>Matches the first edition of the book (Editorial Baseline EBL-3.1)</t>
        </is>
      </c>
    </row>
    <row r="24" ht="18" customHeight="1" s="55">
      <c r="B24" s="65" t="inlineStr">
        <is>
          <t>ISSUED</t>
        </is>
      </c>
      <c r="C24" s="66" t="inlineStr">
        <is>
          <t>22 August 2026</t>
        </is>
      </c>
    </row>
    <row r="28" ht="22" customHeight="1" s="55">
      <c r="B28" s="67" t="inlineStr">
        <is>
          <t>Dan Bleigh</t>
        </is>
      </c>
    </row>
    <row r="29">
      <c r="B29" s="63"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70"/>
  <sheetViews>
    <sheetView showGridLines="0" tabSelected="0"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44" customHeight="1" s="55">
      <c r="E2" s="56" t="inlineStr">
        <is>
          <t>THE NORWOOD FILES</t>
        </is>
      </c>
      <c r="H2" s="57" t="inlineStr">
        <is>
          <t>NF-CW1  ·  v1.0</t>
        </is>
      </c>
    </row>
    <row r="3" ht="6" customHeight="1" s="55">
      <c r="B3" s="58" t="n"/>
      <c r="C3" s="58" t="n"/>
      <c r="D3" s="58" t="n"/>
      <c r="E3" s="58" t="n"/>
      <c r="F3" s="58" t="n"/>
      <c r="G3" s="58" t="n"/>
      <c r="H3" s="58" t="n"/>
    </row>
    <row r="5" ht="30" customHeight="1" s="55">
      <c r="B5" s="68" t="inlineStr">
        <is>
          <t>WELCOME</t>
        </is>
      </c>
    </row>
    <row r="7" ht="20" customHeight="1" s="55">
      <c r="B7" s="69" t="inlineStr">
        <is>
          <t>WHAT THIS COMPANION IS FOR</t>
        </is>
      </c>
    </row>
    <row r="8" ht="14" customHeight="1" s="55">
      <c r="B8" s="70" t="inlineStr">
        <is>
          <t>This workbook is the working half of Book One of The Norwood Files. It carries the forms from the book with the rules already written into the formulas, so that the method can be run on a real process instead of read about. Its subject is building and operating a process risk register: process flow, calibrated scales, the trigger rule, the action hierarchy, effectiveness verification and supplier risk.</t>
        </is>
      </c>
    </row>
    <row r="9" ht="14" customHeight="1" s="55"/>
    <row r="10" ht="14" customHeight="1" s="55"/>
    <row r="11" ht="14" customHeight="1" s="55"/>
    <row r="12" ht="14" customHeight="1" s="55"/>
    <row r="14" ht="20" customHeight="1" s="55">
      <c r="B14" s="69" t="inlineStr">
        <is>
          <t>HOW TO USE IT</t>
        </is>
      </c>
    </row>
    <row r="15" ht="14" customHeight="1" s="55">
      <c r="B15" s="70"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6" ht="14" customHeight="1" s="55"/>
    <row r="17" ht="14" customHeight="1" s="55"/>
    <row r="18" ht="14" customHeight="1" s="55"/>
    <row r="20" ht="20" customHeight="1" s="55">
      <c r="B20" s="69" t="inlineStr">
        <is>
          <t>RELATIONSHIP WITH THE BOOK</t>
        </is>
      </c>
    </row>
    <row r="21" ht="14" customHeight="1" s="55">
      <c r="B21" s="70" t="inlineStr">
        <is>
          <t>The numbered sheets carry the same Form numbers as the book. Form 3 in the book is Form 3 in this file. The sheets prefixed EXAMPLE are the worked cases from the book, complete and populated, so that you can see how a row behaves before you clear it and start on your own process.</t>
        </is>
      </c>
    </row>
    <row r="22" ht="14" customHeight="1" s="55"/>
    <row r="23" ht="14" customHeight="1" s="55"/>
    <row r="24" ht="14" customHeight="1" s="55"/>
    <row r="26" ht="20" customHeight="1" s="55">
      <c r="B26" s="69" t="inlineStr">
        <is>
          <t>READING RECOMMENDATION</t>
        </is>
      </c>
    </row>
    <row r="27" ht="14" customHeight="1" s="55">
      <c r="B27" s="70"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8" ht="14" customHeight="1" s="55"/>
    <row r="29" ht="14" customHeight="1" s="55"/>
    <row r="30" ht="14" customHeight="1" s="55"/>
    <row r="32" ht="20" customHeight="1" s="55">
      <c r="B32" s="69" t="inlineStr">
        <is>
          <t>CONVENTIONS USED THROUGHOUT</t>
        </is>
      </c>
    </row>
    <row r="33" ht="15" customHeight="1" s="55">
      <c r="B33" s="71" t="inlineStr">
        <is>
          <t>·</t>
        </is>
      </c>
      <c r="C33" s="66" t="inlineStr">
        <is>
          <t>Blue text on cream — you type here.</t>
        </is>
      </c>
    </row>
    <row r="34" ht="15" customHeight="1" s="55">
      <c r="B34" s="71" t="inlineStr">
        <is>
          <t>·</t>
        </is>
      </c>
      <c r="C34" s="66" t="inlineStr">
        <is>
          <t>Black bold — calculated. Do not overwrite.</t>
        </is>
      </c>
    </row>
    <row r="35" ht="15" customHeight="1" s="55">
      <c r="B35" s="71" t="inlineStr">
        <is>
          <t>·</t>
        </is>
      </c>
      <c r="C35" s="66" t="inlineStr">
        <is>
          <t>Yellow fill — attention: a value that needs a decision.</t>
        </is>
      </c>
    </row>
    <row r="36" ht="15" customHeight="1" s="55">
      <c r="B36" s="71" t="inlineStr">
        <is>
          <t>·</t>
        </is>
      </c>
      <c r="C36" s="66" t="inlineStr">
        <is>
          <t>Red ■ — a fired trigger, or a finding. Red is never used for decoration.</t>
        </is>
      </c>
    </row>
    <row r="39" ht="20" customHeight="1" s="55">
      <c r="B39" s="69" t="inlineStr">
        <is>
          <t>THE SHEETS IN THIS WORKBOOK</t>
        </is>
      </c>
    </row>
    <row r="40" ht="18" customHeight="1" s="55">
      <c r="B40" s="72" t="inlineStr">
        <is>
          <t>SHEET</t>
        </is>
      </c>
      <c r="C40" s="72" t="inlineStr">
        <is>
          <t>PURPOSE</t>
        </is>
      </c>
      <c r="D40" s="73" t="n"/>
      <c r="E40" s="73" t="n"/>
      <c r="F40" s="73" t="n"/>
      <c r="G40" s="73" t="n"/>
      <c r="H40" s="73" t="n"/>
    </row>
    <row r="41" ht="24" customHeight="1" s="55">
      <c r="B41" s="74" t="inlineStr">
        <is>
          <t>START HERE</t>
        </is>
      </c>
      <c r="C41" s="75" t="inlineStr">
        <is>
          <t>Orientation, order of work, the trigger rule and the cell conventions.</t>
        </is>
      </c>
      <c r="D41" s="64" t="n"/>
      <c r="E41" s="64" t="n"/>
      <c r="F41" s="64" t="n"/>
      <c r="G41" s="64" t="n"/>
      <c r="H41" s="64" t="n"/>
    </row>
    <row r="42" ht="28" customHeight="1" s="55">
      <c r="B42" s="74" t="inlineStr">
        <is>
          <t>Form 1 Process Flow</t>
        </is>
      </c>
      <c r="C42" s="75" t="inlineStr">
        <is>
          <t>One row per place the product can be changed, damaged, measured wrongly or mixed up.</t>
        </is>
      </c>
      <c r="D42" s="64" t="n"/>
      <c r="E42" s="64" t="n"/>
      <c r="F42" s="64" t="n"/>
      <c r="G42" s="64" t="n"/>
      <c r="H42" s="64" t="n"/>
    </row>
    <row r="43" ht="28" customHeight="1" s="55">
      <c r="B43" s="74" t="inlineStr">
        <is>
          <t>Rating Scales</t>
        </is>
      </c>
      <c r="C43" s="75" t="inlineStr">
        <is>
          <t>Severity, occurrence and detection, calibrated to your own consequences and your own scrap data.</t>
        </is>
      </c>
      <c r="D43" s="64" t="n"/>
      <c r="E43" s="64" t="n"/>
      <c r="F43" s="64" t="n"/>
      <c r="G43" s="64" t="n"/>
      <c r="H43" s="64" t="n"/>
    </row>
    <row r="44" ht="28" customHeight="1" s="55">
      <c r="B44" s="74" t="inlineStr">
        <is>
          <t>Form 2 Risk Register</t>
        </is>
      </c>
      <c r="C44" s="75" t="inlineStr">
        <is>
          <t>The register itself. RPN, the trigger and the residual RPN calculate themselves. 200 rows.</t>
        </is>
      </c>
      <c r="D44" s="64" t="n"/>
      <c r="E44" s="64" t="n"/>
      <c r="F44" s="64" t="n"/>
      <c r="G44" s="64" t="n"/>
      <c r="H44" s="64" t="n"/>
    </row>
    <row r="45" ht="28" customHeight="1" s="55">
      <c r="B45" s="74" t="inlineStr">
        <is>
          <t>Form 3 Action Plan</t>
        </is>
      </c>
      <c r="C45" s="75" t="inlineStr">
        <is>
          <t>One line per triggered row, with an owner and a verification method defined before the action starts.</t>
        </is>
      </c>
      <c r="D45" s="64" t="n"/>
      <c r="E45" s="64" t="n"/>
      <c r="F45" s="64" t="n"/>
      <c r="G45" s="64" t="n"/>
      <c r="H45" s="64" t="n"/>
    </row>
    <row r="46" ht="28" customHeight="1" s="55">
      <c r="B46" s="74" t="inlineStr">
        <is>
          <t>Form 4 Review Log</t>
        </is>
      </c>
      <c r="C46" s="75" t="inlineStr">
        <is>
          <t>Evidence that the assessment is alive — one entry per review, scheduled or triggered.</t>
        </is>
      </c>
      <c r="D46" s="64" t="n"/>
      <c r="E46" s="64" t="n"/>
      <c r="F46" s="64" t="n"/>
      <c r="G46" s="64" t="n"/>
      <c r="H46" s="64" t="n"/>
    </row>
    <row r="47" ht="28" customHeight="1" s="55">
      <c r="B47" s="74" t="inlineStr">
        <is>
          <t>Form 5 Supplier Risk</t>
        </is>
      </c>
      <c r="C47" s="75" t="inlineStr">
        <is>
          <t>The five questions, for every supplier whose failure would reach your customer.</t>
        </is>
      </c>
      <c r="D47" s="64" t="n"/>
      <c r="E47" s="64" t="n"/>
      <c r="F47" s="64" t="n"/>
      <c r="G47" s="64" t="n"/>
      <c r="H47" s="64" t="n"/>
    </row>
    <row r="48" ht="24" customHeight="1" s="55">
      <c r="B48" s="74" t="inlineStr">
        <is>
          <t>Dashboard</t>
        </is>
      </c>
      <c r="C48" s="75" t="inlineStr">
        <is>
          <t>Triggered rows counted, initial against residual risk charted.</t>
        </is>
      </c>
      <c r="D48" s="64" t="n"/>
      <c r="E48" s="64" t="n"/>
      <c r="F48" s="64" t="n"/>
      <c r="G48" s="64" t="n"/>
      <c r="H48" s="64" t="n"/>
    </row>
    <row r="49" ht="28" customHeight="1" s="55">
      <c r="B49" s="74" t="inlineStr">
        <is>
          <t>Audit Evidence Map</t>
        </is>
      </c>
      <c r="C49" s="75" t="inlineStr">
        <is>
          <t>Which document answers which requirement — the sheet you hand to an auditor.</t>
        </is>
      </c>
      <c r="D49" s="64" t="n"/>
      <c r="E49" s="64" t="n"/>
      <c r="F49" s="64" t="n"/>
      <c r="G49" s="64" t="n"/>
      <c r="H49" s="64" t="n"/>
    </row>
    <row r="50" ht="28" customHeight="1" s="55">
      <c r="B50" s="74" t="inlineStr">
        <is>
          <t>EXAMPLE A Machining</t>
        </is>
      </c>
      <c r="C50" s="75" t="inlineStr">
        <is>
          <t>Worked register: CNC machining of a cast-iron housing. Complete, from the book.</t>
        </is>
      </c>
      <c r="D50" s="64" t="n"/>
      <c r="E50" s="64" t="n"/>
      <c r="F50" s="64" t="n"/>
      <c r="G50" s="64" t="n"/>
      <c r="H50" s="64" t="n"/>
    </row>
    <row r="51" ht="28" customHeight="1" s="55">
      <c r="B51" s="74" t="inlineStr">
        <is>
          <t>EXAMPLE B Coating</t>
        </is>
      </c>
      <c r="C51" s="75" t="inlineStr">
        <is>
          <t>Worked register: fusion-bonded epoxy pipe coating line. Complete, from the book.</t>
        </is>
      </c>
      <c r="D51" s="64" t="n"/>
      <c r="E51" s="64" t="n"/>
      <c r="F51" s="64" t="n"/>
      <c r="G51" s="64" t="n"/>
      <c r="H51" s="64" t="n"/>
    </row>
    <row r="52" ht="28" customHeight="1" s="55">
      <c r="B52" s="74" t="inlineStr">
        <is>
          <t>EXAMPLE C Assembly</t>
        </is>
      </c>
      <c r="C52" s="75" t="inlineStr">
        <is>
          <t>Worked register: hydraulic cylinder assembly and pressure test. Complete, from the book.</t>
        </is>
      </c>
      <c r="D52" s="64" t="n"/>
      <c r="E52" s="64" t="n"/>
      <c r="F52" s="64" t="n"/>
      <c r="G52" s="64" t="n"/>
      <c r="H52" s="64" t="n"/>
    </row>
    <row r="53" ht="24" customHeight="1" s="55">
      <c r="B53" s="74" t="inlineStr">
        <is>
          <t>About</t>
        </is>
      </c>
      <c r="C53" s="75" t="inlineStr">
        <is>
          <t>Instrument identity, document code and control status.</t>
        </is>
      </c>
      <c r="D53" s="64" t="n"/>
      <c r="E53" s="64" t="n"/>
      <c r="F53" s="64" t="n"/>
      <c r="G53" s="64" t="n"/>
      <c r="H53" s="64" t="n"/>
    </row>
    <row r="56" ht="20" customHeight="1" s="55">
      <c r="B56" s="69" t="inlineStr">
        <is>
          <t>OFFICIAL COMPANION RESOURCES</t>
        </is>
      </c>
    </row>
    <row r="57" ht="13" customHeight="1" s="55">
      <c r="B57" s="76" t="inlineStr">
        <is>
          <t>The official repository holds this workbook, the other Companions in the series, and any corrected or updated revisions. There is nothing to sign up for and no address to leave.</t>
        </is>
      </c>
    </row>
    <row r="58" ht="13" customHeight="1" s="55"/>
    <row r="59" ht="13" customHeight="1" s="55"/>
    <row r="61" ht="13" customHeight="1" s="55">
      <c r="B61" s="77" t="inlineStr">
        <is>
          <t>‹ PH-01 · Companion download address — to be inserted before publication. NF-CIP §5. ›</t>
        </is>
      </c>
    </row>
    <row r="62" ht="13" customHeight="1" s="55"/>
    <row r="64" ht="15" customHeight="1" s="55">
      <c r="B64" s="78" t="inlineStr">
        <is>
          <t>QR CODE
RESERVED
‹ PH-02 ›</t>
        </is>
      </c>
      <c r="C64" s="79" t="n"/>
      <c r="E64" s="80"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5" ht="15" customHeight="1" s="55">
      <c r="B65" s="79" t="n"/>
      <c r="C65" s="79" t="n"/>
    </row>
    <row r="66" ht="15" customHeight="1" s="55">
      <c r="B66" s="79" t="n"/>
      <c r="C66" s="79" t="n"/>
    </row>
    <row r="67" ht="15" customHeight="1" s="55">
      <c r="B67" s="79" t="n"/>
      <c r="C67" s="79" t="n"/>
    </row>
    <row r="68" ht="15" customHeight="1" s="55">
      <c r="B68" s="79" t="n"/>
      <c r="C68" s="79" t="n"/>
    </row>
    <row r="69" ht="15" customHeight="1" s="55">
      <c r="B69" s="79" t="n"/>
      <c r="C69" s="79" t="n"/>
    </row>
    <row r="70" ht="15" customHeight="1" s="55">
      <c r="B70" s="79" t="n"/>
      <c r="C70" s="79" t="n"/>
    </row>
  </sheetData>
  <sheetProtection selectLockedCells="0" selectUnlockedCells="0" sheet="1" objects="0" insertRows="1" insertHyperlinks="1" autoFilter="1" scenarios="0" formatColumns="1" deleteColumns="1" insertColumns="1" pivotTables="1" deleteRows="1" formatCells="1" formatRows="1" sort="1"/>
  <mergeCells count="26">
    <mergeCell ref="C41:H41"/>
    <mergeCell ref="C47:H47"/>
    <mergeCell ref="C50:H50"/>
    <mergeCell ref="B64:C70"/>
    <mergeCell ref="C44:H44"/>
    <mergeCell ref="C40:H40"/>
    <mergeCell ref="B61:H62"/>
    <mergeCell ref="B21:H24"/>
    <mergeCell ref="C43:H43"/>
    <mergeCell ref="B27:H30"/>
    <mergeCell ref="C46:H46"/>
    <mergeCell ref="C51:H51"/>
    <mergeCell ref="C36:H36"/>
    <mergeCell ref="C52:H52"/>
    <mergeCell ref="C48:H48"/>
    <mergeCell ref="C53:H53"/>
    <mergeCell ref="C49:H49"/>
    <mergeCell ref="C34:H34"/>
    <mergeCell ref="E64:H70"/>
    <mergeCell ref="B15:H18"/>
    <mergeCell ref="C33:H33"/>
    <mergeCell ref="C42:H42"/>
    <mergeCell ref="B8:H12"/>
    <mergeCell ref="B57:H59"/>
    <mergeCell ref="C45:H45"/>
    <mergeCell ref="C35:H35"/>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44" customHeight="1" s="55">
      <c r="E2" s="56" t="inlineStr">
        <is>
          <t>THE NORWOOD FILES</t>
        </is>
      </c>
      <c r="H2" s="57" t="inlineStr">
        <is>
          <t>NF-CW1  ·  v1.0</t>
        </is>
      </c>
    </row>
    <row r="3" ht="6" customHeight="1" s="55">
      <c r="B3" s="58" t="n"/>
      <c r="C3" s="58" t="n"/>
      <c r="D3" s="58" t="n"/>
      <c r="E3" s="58" t="n"/>
      <c r="F3" s="58" t="n"/>
      <c r="G3" s="58" t="n"/>
      <c r="H3" s="58" t="n"/>
    </row>
    <row r="5" ht="30" customHeight="1" s="55">
      <c r="B5" s="68" t="inlineStr">
        <is>
          <t>LICENCE AND VERSION</t>
        </is>
      </c>
    </row>
    <row r="7" ht="20" customHeight="1" s="55">
      <c r="B7" s="69" t="inlineStr">
        <is>
          <t>PUBLICATION INFORMATION</t>
        </is>
      </c>
    </row>
    <row r="8" ht="19" customHeight="1" s="55">
      <c r="B8" s="81" t="inlineStr">
        <is>
          <t>PRODUCT</t>
        </is>
      </c>
      <c r="C8" s="64" t="n"/>
      <c r="D8" s="82" t="inlineStr">
        <is>
          <t>Official Companion Workbook</t>
        </is>
      </c>
      <c r="E8" s="64" t="n"/>
      <c r="F8" s="64" t="n"/>
      <c r="G8" s="64" t="n"/>
      <c r="H8" s="64" t="n"/>
    </row>
    <row r="9" ht="19" customHeight="1" s="55">
      <c r="B9" s="81" t="inlineStr">
        <is>
          <t>TITLE</t>
        </is>
      </c>
      <c r="C9" s="64" t="n"/>
      <c r="D9" s="82" t="inlineStr">
        <is>
          <t>The Norwood Files — Companion to Book One</t>
        </is>
      </c>
      <c r="E9" s="64" t="n"/>
      <c r="F9" s="64" t="n"/>
      <c r="G9" s="64" t="n"/>
      <c r="H9" s="64" t="n"/>
    </row>
    <row r="10" ht="19" customHeight="1" s="55">
      <c r="B10" s="81" t="inlineStr">
        <is>
          <t>COMPANION TO</t>
        </is>
      </c>
      <c r="C10" s="64" t="n"/>
      <c r="D10" s="82" t="inlineStr">
        <is>
          <t>The Row That Wasn’t There</t>
        </is>
      </c>
      <c r="E10" s="64" t="n"/>
      <c r="F10" s="64" t="n"/>
      <c r="G10" s="64" t="n"/>
      <c r="H10" s="64" t="n"/>
    </row>
    <row r="11" ht="19" customHeight="1" s="55">
      <c r="B11" s="81" t="inlineStr">
        <is>
          <t>DOCUMENT CODE</t>
        </is>
      </c>
      <c r="C11" s="64" t="n"/>
      <c r="D11" s="82" t="inlineStr">
        <is>
          <t>NF-CW1</t>
        </is>
      </c>
      <c r="E11" s="64" t="n"/>
      <c r="F11" s="64" t="n"/>
      <c r="G11" s="64" t="n"/>
      <c r="H11" s="64" t="n"/>
    </row>
    <row r="12" ht="19" customHeight="1" s="55">
      <c r="B12" s="81" t="inlineStr">
        <is>
          <t>REVISION</t>
        </is>
      </c>
      <c r="C12" s="64" t="n"/>
      <c r="D12" s="82" t="inlineStr">
        <is>
          <t>v1.0</t>
        </is>
      </c>
      <c r="E12" s="64" t="n"/>
      <c r="F12" s="64" t="n"/>
      <c r="G12" s="64" t="n"/>
      <c r="H12" s="64" t="n"/>
    </row>
    <row r="13" ht="19" customHeight="1" s="55">
      <c r="B13" s="81" t="inlineStr">
        <is>
          <t>PUBLICATION VERSION</t>
        </is>
      </c>
      <c r="C13" s="64" t="n"/>
      <c r="D13" s="82" t="inlineStr">
        <is>
          <t>v1.0  ·  issued 22 August 2026</t>
        </is>
      </c>
      <c r="E13" s="64" t="n"/>
      <c r="F13" s="64" t="n"/>
      <c r="G13" s="64" t="n"/>
      <c r="H13" s="64" t="n"/>
    </row>
    <row r="14" ht="19" customHeight="1" s="55">
      <c r="B14" s="81" t="inlineStr">
        <is>
          <t>EDITION</t>
        </is>
      </c>
      <c r="C14" s="64" t="n"/>
      <c r="D14" s="82" t="inlineStr">
        <is>
          <t>Current to the 2026 edition of ISO 9001</t>
        </is>
      </c>
      <c r="E14" s="64" t="n"/>
      <c r="F14" s="64" t="n"/>
      <c r="G14" s="64" t="n"/>
      <c r="H14" s="64" t="n"/>
    </row>
    <row r="15" ht="19" customHeight="1" s="55">
      <c r="B15" s="81" t="inlineStr">
        <is>
          <t>EDITORIAL BASELINE</t>
        </is>
      </c>
      <c r="C15" s="64" t="n"/>
      <c r="D15" s="82" t="inlineStr">
        <is>
          <t>EBL-3.1</t>
        </is>
      </c>
      <c r="E15" s="64" t="n"/>
      <c r="F15" s="64" t="n"/>
      <c r="G15" s="64" t="n"/>
      <c r="H15" s="64" t="n"/>
    </row>
    <row r="16" ht="19" customHeight="1" s="55">
      <c r="B16" s="81" t="inlineStr">
        <is>
          <t>IDENTITY</t>
        </is>
      </c>
      <c r="C16" s="64" t="n"/>
      <c r="D16" s="82" t="inlineStr">
        <is>
          <t>Norwood Brand Standards Manual v1.0</t>
        </is>
      </c>
      <c r="E16" s="64" t="n"/>
      <c r="F16" s="64" t="n"/>
      <c r="G16" s="64" t="n"/>
      <c r="H16" s="64" t="n"/>
    </row>
    <row r="17" ht="19" customHeight="1" s="55">
      <c r="B17" s="81" t="inlineStr">
        <is>
          <t>AUTHOR</t>
        </is>
      </c>
      <c r="C17" s="64" t="n"/>
      <c r="D17" s="82" t="inlineStr">
        <is>
          <t>Dan Bleigh</t>
        </is>
      </c>
      <c r="E17" s="64" t="n"/>
      <c r="F17" s="64" t="n"/>
      <c r="G17" s="64" t="n"/>
      <c r="H17" s="64" t="n"/>
    </row>
    <row r="20" ht="20" customHeight="1" s="55">
      <c r="B20" s="69" t="inlineStr">
        <is>
          <t>REPOSITORY</t>
        </is>
      </c>
    </row>
    <row r="21" ht="16" customHeight="1" s="55">
      <c r="B21" s="69" t="inlineStr">
        <is>
          <t>‹ PH-01 · Companion download address — to be inserted before publication. NF-CIP §5. ›</t>
        </is>
      </c>
    </row>
    <row r="23" ht="20" customHeight="1" s="55">
      <c r="B23" s="69" t="inlineStr">
        <is>
          <t>TERMS OF USE</t>
        </is>
      </c>
    </row>
    <row r="24" ht="13" customHeight="1" s="55">
      <c r="B24" s="83" t="inlineStr">
        <is>
          <t>Copyright © 2026 Dan Bleigh. All rights reserved.</t>
        </is>
      </c>
    </row>
    <row r="25" ht="13" customHeight="1" s="55"/>
    <row r="27" ht="13" customHeight="1" s="55">
      <c r="B27" s="83" t="inlineStr">
        <is>
          <t>This workbook accompanies The Row That Wasn’t There and is supplied free of charge with the book. You may use it, adapt it and reproduce it inside your own organization for your own quality management system.</t>
        </is>
      </c>
    </row>
    <row r="28" ht="13" customHeight="1" s="55"/>
    <row r="29" ht="13" customHeight="1" s="55"/>
    <row r="31" ht="13" customHeight="1" s="55">
      <c r="B31" s="83" t="inlineStr">
        <is>
          <t>You may not resell it, redistribute it as your own work, or present it as a certified or accredited document.</t>
        </is>
      </c>
    </row>
    <row r="32" ht="13" customHeight="1" s="55"/>
    <row r="34" ht="13" customHeight="1" s="55">
      <c r="B34" s="83" t="inlineStr">
        <is>
          <t>The forms are offered as general professional guidance. They do not constitute legal, regulatory, safety or certification advice, and no warranty is given as to any particular audit outcome.</t>
        </is>
      </c>
    </row>
    <row r="35" ht="13" customHeight="1" s="55"/>
    <row r="36" ht="13" customHeight="1" s="55"/>
    <row r="38" ht="13" customHeight="1" s="55">
      <c r="B38" s="83"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55"/>
    <row r="40" ht="13" customHeight="1" s="55"/>
    <row r="41" ht="13" customHeight="1" s="55"/>
    <row r="44">
      <c r="B44" s="64" t="n"/>
      <c r="C44" s="64" t="n"/>
      <c r="D44" s="64" t="n"/>
      <c r="E44" s="64" t="n"/>
      <c r="F44" s="64" t="n"/>
      <c r="G44" s="64" t="n"/>
      <c r="H44" s="64" t="n"/>
    </row>
    <row r="46">
      <c r="B46" s="84"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85" min="1" max="1"/>
    <col width="96" customWidth="1" style="85" min="2" max="2"/>
  </cols>
  <sheetData>
    <row r="1" ht="25.5" customHeight="1" s="55">
      <c r="A1" s="86" t="inlineStr">
        <is>
          <t>PROCESS RISK ANALYSIS AND CORRECTIVE ACTION</t>
        </is>
      </c>
    </row>
    <row r="2" ht="15.75" customHeight="1" s="55">
      <c r="A2" s="87" t="inlineStr">
        <is>
          <t>Companion workbook. Free, no sign-up. Everything here is also printed in the book.</t>
        </is>
      </c>
    </row>
    <row r="3"/>
    <row r="4" ht="15" customHeight="1" s="55">
      <c r="A4" s="88" t="inlineStr">
        <is>
          <t>WHAT THIS IS</t>
        </is>
      </c>
    </row>
    <row r="5" ht="25.5" customHeight="1" s="55">
      <c r="B5" s="89" t="inlineStr">
        <is>
          <t>The forms from Part 3 of the book, with the trigger rule already written into the formulas, plus the three worked registers from Part 2 as completed examples.</t>
        </is>
      </c>
    </row>
    <row r="6" ht="25.5" customHeight="1" s="55">
      <c r="B6" s="89" t="inlineStr">
        <is>
          <t>Nothing in the book depends on this file. Every form is printed in full and can be photocopied.</t>
        </is>
      </c>
    </row>
    <row r="7" ht="15" customHeight="1" s="55">
      <c r="A7" s="88" t="inlineStr">
        <is>
          <t>ORDER OF WORK</t>
        </is>
      </c>
    </row>
    <row r="8" ht="25.5" customHeight="1" s="55">
      <c r="B8" s="89" t="inlineStr">
        <is>
          <t>1.  Map your process on 'Form 1 Process Flow'. One row per place the product can be changed, damaged, measured wrongly or mixed up—not one row per machine.</t>
        </is>
      </c>
    </row>
    <row r="9" ht="25.5" customHeight="1" s="55">
      <c r="B9" s="89" t="inlineStr">
        <is>
          <t>2.  Calibrate 'Rating Scales' to your own consequences and your own scrap data. Occurrence must come from your nonconformance log, not from memory.</t>
        </is>
      </c>
    </row>
    <row r="10" ht="15" customHeight="1" s="55">
      <c r="B10" s="89" t="inlineStr">
        <is>
          <t>3.  Fill 'Form 2 Risk Register'. RPN, the trigger and the residual RPN calculate themselves.</t>
        </is>
      </c>
    </row>
    <row r="11" ht="25.5" customHeight="1" s="55">
      <c r="B11" s="89" t="inlineStr">
        <is>
          <t>4.  Every triggered row gets a line on 'Form 3 Action Plan' with an owner and a verification method defined BEFORE the action, not after.</t>
        </is>
      </c>
    </row>
    <row r="12" ht="15" customHeight="1" s="55">
      <c r="B12" s="89" t="inlineStr">
        <is>
          <t>5.  Record each review on 'Form 4 Review Log'. Assess suppliers on 'Form 5 Supplier Risk'.</t>
        </is>
      </c>
    </row>
    <row r="13" ht="15" customHeight="1" s="55">
      <c r="A13" s="88" t="inlineStr">
        <is>
          <t>THE TRIGGER RULE</t>
        </is>
      </c>
    </row>
    <row r="14" ht="25.5" customHeight="1" s="55">
      <c r="B14" s="89" t="inlineStr">
        <is>
          <t>Action is mandatory when severity reaches 9, when RPN reaches 100, or when severity is 7 or above AND detection is 7 or above. It is already in the formulas. Do not soften it after scoring.</t>
        </is>
      </c>
    </row>
    <row r="15" ht="15" customHeight="1" s="55">
      <c r="A15" s="88" t="inlineStr">
        <is>
          <t>SEVERITY DOES NOT MOVE</t>
        </is>
      </c>
    </row>
    <row r="16" ht="39" customHeight="1" s="55">
      <c r="B16" s="89" t="inlineStr">
        <is>
          <t>The 'Check' column turns red if a residual severity differs from the initial severity. Adding an inspection lowers detection. Adding a control lowers occurrence. Only a change to the product or the process lowers severity.</t>
        </is>
      </c>
    </row>
    <row r="17" ht="15" customHeight="1" s="55">
      <c r="A17" s="88" t="inlineStr">
        <is>
          <t>CAPACITY</t>
        </is>
      </c>
    </row>
    <row r="18" ht="25.5" customHeight="1" s="55">
      <c r="B18" s="89" t="inlineStr">
        <is>
          <t>The register holds 200 rows. Formulas are already in place on every one of them, so you can simply type into the next empty row and everything recalculates. Blank rows stay blank.</t>
        </is>
      </c>
    </row>
    <row r="19" ht="15" customHeight="1" s="55">
      <c r="A19" s="88" t="inlineStr">
        <is>
          <t>SHEET NAMES</t>
        </is>
      </c>
    </row>
    <row r="20" ht="39" customHeight="1" s="55">
      <c r="B20" s="89" t="inlineStr">
        <is>
          <t>The numbered sheets carry the same Form numbers as Part 3 of the book. Form 3 in the book is Form 3 in this file. The Rating Scales sheet is section 3.2 of the book and is deliberately unnumbered.</t>
        </is>
      </c>
    </row>
    <row r="21" ht="15" customHeight="1" s="55">
      <c r="A21" s="88" t="inlineStr">
        <is>
          <t>THE EXAMPLES</t>
        </is>
      </c>
    </row>
    <row r="22" ht="39" customHeight="1" s="55">
      <c r="B22" s="89" t="inlineStr">
        <is>
          <t>The three sheets prefixed EXAMPLE are complete registers from the book. Read the one closest to your operation, then work in 'Form 2 Risk Register'. Do not edit the examples—a register that still contains somebody else’s failure modes is found by an auditor with one question.</t>
        </is>
      </c>
    </row>
    <row r="23" ht="15" customHeight="1" s="55">
      <c r="A23" s="88" t="inlineStr">
        <is>
          <t>CELL COLOURS</t>
        </is>
      </c>
    </row>
    <row r="24" ht="15" customHeight="1" s="55">
      <c r="B24" s="89" t="inlineStr">
        <is>
          <t>Blue text on cream = you type here.  Black bold = calculated, do not overwrite.</t>
        </is>
      </c>
    </row>
    <row r="25"/>
    <row r="26" ht="15" customHeight="1" s="55">
      <c r="A26" s="90" t="inlineStr">
        <is>
          <t>The Norwood Files · Companion to Book One · v1.0 · issued 22 August 2026 · matches the first edition (Editorial Baseline EBL-3.1)</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E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85" min="1" max="1"/>
    <col width="30" customWidth="1" style="85" min="2" max="2"/>
    <col width="34" customWidth="1" style="85" min="3" max="5"/>
  </cols>
  <sheetData>
    <row r="1" ht="25.5" customHeight="1" s="55">
      <c r="A1" s="86" t="inlineStr">
        <is>
          <t>PROCESS FLOW</t>
        </is>
      </c>
    </row>
    <row r="2" ht="15.75" customHeight="1" s="55">
      <c r="A2" s="87" t="inlineStr">
        <is>
          <t>Include storage, transport, setup, hand operations, inspection and the rework loop.</t>
        </is>
      </c>
    </row>
    <row r="3"/>
    <row r="4" ht="30" customHeight="1" s="55">
      <c r="A4" s="91" t="inlineStr">
        <is>
          <t>Step</t>
        </is>
      </c>
      <c r="B4" s="91" t="inlineStr">
        <is>
          <t>Operation</t>
        </is>
      </c>
      <c r="C4" s="91" t="inlineStr">
        <is>
          <t>Purpose</t>
        </is>
      </c>
      <c r="D4" s="91" t="inlineStr">
        <is>
          <t>Key process parameters</t>
        </is>
      </c>
      <c r="E4" s="91" t="inlineStr">
        <is>
          <t>Control at this step</t>
        </is>
      </c>
    </row>
    <row r="5" ht="25.5" customHeight="1" s="55">
      <c r="A5" s="92" t="n"/>
      <c r="B5" s="93" t="n"/>
      <c r="C5" s="93" t="n"/>
      <c r="D5" s="93" t="n"/>
      <c r="E5" s="93" t="n"/>
    </row>
    <row r="6" ht="25.5" customHeight="1" s="55">
      <c r="A6" s="94" t="n"/>
      <c r="B6" s="95" t="n"/>
      <c r="C6" s="95" t="n"/>
      <c r="D6" s="95" t="n"/>
      <c r="E6" s="95" t="n"/>
    </row>
    <row r="7" ht="25.5" customHeight="1" s="55">
      <c r="A7" s="92" t="n"/>
      <c r="B7" s="93" t="n"/>
      <c r="C7" s="93" t="n"/>
      <c r="D7" s="93" t="n"/>
      <c r="E7" s="93" t="n"/>
    </row>
    <row r="8" ht="25.5" customHeight="1" s="55">
      <c r="A8" s="94" t="n"/>
      <c r="B8" s="95" t="n"/>
      <c r="C8" s="95" t="n"/>
      <c r="D8" s="95" t="n"/>
      <c r="E8" s="95" t="n"/>
    </row>
    <row r="9" ht="25.5" customHeight="1" s="55">
      <c r="A9" s="92" t="n"/>
      <c r="B9" s="93" t="n"/>
      <c r="C9" s="93" t="n"/>
      <c r="D9" s="93" t="n"/>
      <c r="E9" s="93" t="n"/>
    </row>
    <row r="10" ht="25.5" customHeight="1" s="55">
      <c r="A10" s="94" t="n"/>
      <c r="B10" s="95" t="n"/>
      <c r="C10" s="95" t="n"/>
      <c r="D10" s="95" t="n"/>
      <c r="E10" s="95" t="n"/>
    </row>
    <row r="11" ht="25.5" customHeight="1" s="55">
      <c r="A11" s="92" t="n"/>
      <c r="B11" s="93" t="n"/>
      <c r="C11" s="93" t="n"/>
      <c r="D11" s="93" t="n"/>
      <c r="E11" s="93" t="n"/>
    </row>
    <row r="12" ht="25.5" customHeight="1" s="55">
      <c r="A12" s="94" t="n"/>
      <c r="B12" s="95" t="n"/>
      <c r="C12" s="95" t="n"/>
      <c r="D12" s="95" t="n"/>
      <c r="E12" s="95" t="n"/>
    </row>
    <row r="13" ht="25.5" customHeight="1" s="55">
      <c r="A13" s="92" t="n"/>
      <c r="B13" s="93" t="n"/>
      <c r="C13" s="93" t="n"/>
      <c r="D13" s="93" t="n"/>
      <c r="E13" s="93" t="n"/>
    </row>
    <row r="14" ht="25.5" customHeight="1" s="55">
      <c r="A14" s="94" t="n"/>
      <c r="B14" s="95" t="n"/>
      <c r="C14" s="95" t="n"/>
      <c r="D14" s="95" t="n"/>
      <c r="E14" s="95" t="n"/>
    </row>
    <row r="15" ht="25.5" customHeight="1" s="55">
      <c r="A15" s="92" t="n"/>
      <c r="B15" s="93" t="n"/>
      <c r="C15" s="93" t="n"/>
      <c r="D15" s="93" t="n"/>
      <c r="E15" s="93" t="n"/>
    </row>
    <row r="16" ht="25.5" customHeight="1" s="55">
      <c r="A16" s="94" t="n"/>
      <c r="B16" s="95" t="n"/>
      <c r="C16" s="95" t="n"/>
      <c r="D16" s="95" t="n"/>
      <c r="E16" s="95" t="n"/>
    </row>
    <row r="17" ht="25.5" customHeight="1" s="55">
      <c r="A17" s="92" t="n"/>
      <c r="B17" s="93" t="n"/>
      <c r="C17" s="93" t="n"/>
      <c r="D17" s="93" t="n"/>
      <c r="E17" s="93" t="n"/>
    </row>
    <row r="18" ht="25.5" customHeight="1" s="55">
      <c r="A18" s="94" t="n"/>
      <c r="B18" s="95" t="n"/>
      <c r="C18" s="95" t="n"/>
      <c r="D18" s="95" t="n"/>
      <c r="E18" s="95" t="n"/>
    </row>
    <row r="19" ht="25.5" customHeight="1" s="55">
      <c r="A19" s="92" t="n"/>
      <c r="B19" s="93" t="n"/>
      <c r="C19" s="93" t="n"/>
      <c r="D19" s="93" t="n"/>
      <c r="E19" s="93" t="n"/>
    </row>
    <row r="20" ht="25.5" customHeight="1" s="55">
      <c r="A20" s="94" t="n"/>
      <c r="B20" s="95" t="n"/>
      <c r="C20" s="95" t="n"/>
      <c r="D20" s="95" t="n"/>
      <c r="E20" s="95" t="n"/>
    </row>
    <row r="21" ht="25.5" customHeight="1" s="55">
      <c r="A21" s="92" t="n"/>
      <c r="B21" s="93" t="n"/>
      <c r="C21" s="93" t="n"/>
      <c r="D21" s="93" t="n"/>
      <c r="E21" s="93" t="n"/>
    </row>
    <row r="22" ht="25.5" customHeight="1" s="55">
      <c r="A22" s="94" t="n"/>
      <c r="B22" s="95" t="n"/>
      <c r="C22" s="95" t="n"/>
      <c r="D22" s="95" t="n"/>
      <c r="E22" s="95" t="n"/>
    </row>
    <row r="23" ht="25.5" customHeight="1" s="55">
      <c r="A23" s="92" t="n"/>
      <c r="B23" s="93" t="n"/>
      <c r="C23" s="93" t="n"/>
      <c r="D23" s="93" t="n"/>
      <c r="E23" s="93" t="n"/>
    </row>
    <row r="24" ht="25.5" customHeight="1" s="55">
      <c r="A24" s="94" t="n"/>
      <c r="B24" s="95" t="n"/>
      <c r="C24" s="95" t="n"/>
      <c r="D24" s="95" t="n"/>
      <c r="E24" s="95" t="n"/>
    </row>
    <row r="25" ht="25.5" customHeight="1" s="55">
      <c r="A25" s="92" t="n"/>
      <c r="B25" s="93" t="n"/>
      <c r="C25" s="93" t="n"/>
      <c r="D25" s="93" t="n"/>
      <c r="E25" s="93" t="n"/>
    </row>
    <row r="26" ht="25.5" customHeight="1" s="55">
      <c r="A26" s="94" t="n"/>
      <c r="B26" s="95" t="n"/>
      <c r="C26" s="95" t="n"/>
      <c r="D26" s="95" t="n"/>
      <c r="E26" s="95" t="n"/>
    </row>
    <row r="27" ht="25.5" customHeight="1" s="55">
      <c r="A27" s="92" t="n"/>
      <c r="B27" s="93" t="n"/>
      <c r="C27" s="93" t="n"/>
      <c r="D27" s="93" t="n"/>
      <c r="E27" s="93" t="n"/>
    </row>
    <row r="28" ht="25.5" customHeight="1" s="55">
      <c r="A28" s="94" t="n"/>
      <c r="B28" s="95" t="n"/>
      <c r="C28" s="95" t="n"/>
      <c r="D28" s="95" t="n"/>
      <c r="E28" s="95" t="n"/>
    </row>
    <row r="29" ht="25.5" customHeight="1" s="55">
      <c r="A29" s="92" t="n"/>
      <c r="B29" s="93" t="n"/>
      <c r="C29" s="93" t="n"/>
      <c r="D29" s="93" t="n"/>
      <c r="E29" s="93" t="n"/>
    </row>
    <row r="30" ht="25.5" customHeight="1" s="55">
      <c r="A30" s="94" t="n"/>
      <c r="B30" s="95" t="n"/>
      <c r="C30" s="95" t="n"/>
      <c r="D30" s="95" t="n"/>
      <c r="E30" s="95" t="n"/>
    </row>
    <row r="31" ht="25.5" customHeight="1" s="55">
      <c r="A31" s="92" t="n"/>
      <c r="B31" s="93" t="n"/>
      <c r="C31" s="93" t="n"/>
      <c r="D31" s="93" t="n"/>
      <c r="E31" s="93" t="n"/>
    </row>
    <row r="32" ht="25.5" customHeight="1" s="55">
      <c r="A32" s="94" t="n"/>
      <c r="B32" s="95" t="n"/>
      <c r="C32" s="95" t="n"/>
      <c r="D32" s="95" t="n"/>
      <c r="E32" s="95" t="n"/>
    </row>
    <row r="33" ht="25.5" customHeight="1" s="55">
      <c r="A33" s="92" t="n"/>
      <c r="B33" s="93" t="n"/>
      <c r="C33" s="93" t="n"/>
      <c r="D33" s="93" t="n"/>
      <c r="E33" s="93" t="n"/>
    </row>
    <row r="34" ht="25.5" customHeight="1" s="55">
      <c r="A34" s="94" t="n"/>
      <c r="B34" s="95" t="n"/>
      <c r="C34" s="95" t="n"/>
      <c r="D34" s="95" t="n"/>
      <c r="E34" s="95" t="n"/>
    </row>
    <row r="35" ht="25.5" customHeight="1" s="55">
      <c r="A35" s="92" t="n"/>
      <c r="B35" s="93" t="n"/>
      <c r="C35" s="93" t="n"/>
      <c r="D35" s="93" t="n"/>
      <c r="E35" s="93" t="n"/>
    </row>
    <row r="36" ht="25.5" customHeight="1" s="55">
      <c r="A36" s="94" t="n"/>
      <c r="B36" s="95" t="n"/>
      <c r="C36" s="95" t="n"/>
      <c r="D36" s="95" t="n"/>
      <c r="E36" s="95" t="n"/>
    </row>
    <row r="37" ht="25.5" customHeight="1" s="55">
      <c r="A37" s="92" t="n"/>
      <c r="B37" s="93" t="n"/>
      <c r="C37" s="93" t="n"/>
      <c r="D37" s="93" t="n"/>
      <c r="E37" s="93" t="n"/>
    </row>
    <row r="38" ht="25.5" customHeight="1" s="55">
      <c r="A38" s="94" t="n"/>
      <c r="B38" s="95" t="n"/>
      <c r="C38" s="95" t="n"/>
      <c r="D38" s="95" t="n"/>
      <c r="E38" s="95" t="n"/>
    </row>
    <row r="39" ht="25.5" customHeight="1" s="55">
      <c r="A39" s="92" t="n"/>
      <c r="B39" s="93" t="n"/>
      <c r="C39" s="93" t="n"/>
      <c r="D39" s="93" t="n"/>
      <c r="E39" s="93" t="n"/>
    </row>
    <row r="40" ht="25.5" customHeight="1" s="55">
      <c r="A40" s="94" t="n"/>
      <c r="B40" s="95" t="n"/>
      <c r="C40" s="95" t="n"/>
      <c r="D40" s="95" t="n"/>
      <c r="E40" s="95" t="n"/>
    </row>
    <row r="41" ht="25.5" customHeight="1" s="55">
      <c r="A41" s="92" t="n"/>
      <c r="B41" s="93" t="n"/>
      <c r="C41" s="93" t="n"/>
      <c r="D41" s="93" t="n"/>
      <c r="E41" s="93" t="n"/>
    </row>
    <row r="42" ht="25.5" customHeight="1" s="55">
      <c r="A42" s="94" t="n"/>
      <c r="B42" s="95" t="n"/>
      <c r="C42" s="95" t="n"/>
      <c r="D42" s="95" t="n"/>
      <c r="E42" s="95" t="n"/>
    </row>
    <row r="43" ht="25.5" customHeight="1" s="55">
      <c r="A43" s="92" t="n"/>
      <c r="B43" s="93" t="n"/>
      <c r="C43" s="93" t="n"/>
      <c r="D43" s="93" t="n"/>
      <c r="E43" s="93" t="n"/>
    </row>
    <row r="44" ht="25.5" customHeight="1" s="55">
      <c r="A44" s="94" t="n"/>
      <c r="B44" s="95" t="n"/>
      <c r="C44" s="95" t="n"/>
      <c r="D44" s="95" t="n"/>
      <c r="E44" s="95" t="n"/>
    </row>
  </sheetData>
  <sheetProtection selectLockedCells="0" selectUnlockedCells="0" sheet="1" objects="0" insertRows="1" insertHyperlinks="1" autoFilter="1" scenarios="0" formatColumns="1" deleteColumns="1" insertColumns="1" pivotTables="1" deleteRows="1" formatCells="1" formatRows="1" sort="1"/>
  <mergeCells count="2">
    <mergeCell ref="A2:E2"/>
    <mergeCell ref="A1:E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85" min="1" max="1"/>
    <col width="30" customWidth="1" style="85" min="2" max="2"/>
    <col width="40" customWidth="1" style="85" min="3" max="3"/>
    <col width="7" customWidth="1" style="85" min="4" max="4"/>
    <col width="30" customWidth="1" style="85" min="5" max="5"/>
    <col width="40" customWidth="1" style="85" min="6" max="6"/>
    <col width="7" customWidth="1" style="85" min="7" max="7"/>
    <col width="30" customWidth="1" style="85" min="8" max="8"/>
    <col width="40" customWidth="1" style="85" min="9" max="9"/>
  </cols>
  <sheetData>
    <row r="1" ht="25.5" customHeight="1" s="55">
      <c r="A1" s="86" t="inlineStr">
        <is>
          <t>RATING SCALES</t>
        </is>
      </c>
    </row>
    <row r="2" ht="15.75" customHeight="1" s="55">
      <c r="A2" s="87" t="inlineStr">
        <is>
          <t>Overwrite every line. A scale you have not edited is a scale from somebody else’s factory.</t>
        </is>
      </c>
    </row>
    <row r="3"/>
    <row r="4" ht="15" customHeight="1" s="55">
      <c r="A4" s="96" t="inlineStr">
        <is>
          <t>SEVERITY (S)</t>
        </is>
      </c>
      <c r="D4" s="96" t="inlineStr">
        <is>
          <t>OCCURRENCE (O)</t>
        </is>
      </c>
      <c r="G4" s="96" t="inlineStr">
        <is>
          <t>DETECTION (D)</t>
        </is>
      </c>
    </row>
    <row r="5" ht="15" customHeight="1" s="55">
      <c r="A5" s="97" t="inlineStr">
        <is>
          <t>Score</t>
        </is>
      </c>
      <c r="B5" s="97" t="inlineStr">
        <is>
          <t>In your plant this means</t>
        </is>
      </c>
      <c r="C5" s="97" t="inlineStr">
        <is>
          <t>The test that settles a dispute</t>
        </is>
      </c>
      <c r="D5" s="97" t="inlineStr">
        <is>
          <t>Score</t>
        </is>
      </c>
      <c r="E5" s="97" t="inlineStr">
        <is>
          <t>In your plant this means</t>
        </is>
      </c>
      <c r="F5" s="97" t="inlineStr">
        <is>
          <t>The test that settles a dispute</t>
        </is>
      </c>
      <c r="G5" s="97" t="inlineStr">
        <is>
          <t>Score</t>
        </is>
      </c>
      <c r="H5" s="97" t="inlineStr">
        <is>
          <t>In your plant this means</t>
        </is>
      </c>
      <c r="I5" s="97" t="inlineStr">
        <is>
          <t>The test that settles a dispute</t>
        </is>
      </c>
    </row>
    <row r="6" ht="30" customHeight="1" s="55">
      <c r="A6" s="98" t="inlineStr">
        <is>
          <t>10</t>
        </is>
      </c>
      <c r="B6" s="93" t="n"/>
      <c r="C6" s="93" t="n"/>
      <c r="D6" s="98" t="inlineStr">
        <is>
          <t>9–10</t>
        </is>
      </c>
      <c r="E6" s="93" t="n"/>
      <c r="F6" s="93" t="n"/>
      <c r="G6" s="98" t="inlineStr">
        <is>
          <t>10</t>
        </is>
      </c>
      <c r="H6" s="99" t="inlineStr">
        <is>
          <t>No control. Found by the customer, or not at all.</t>
        </is>
      </c>
      <c r="I6" s="93" t="n"/>
    </row>
    <row r="7" ht="30" customHeight="1" s="55">
      <c r="A7" s="98" t="inlineStr">
        <is>
          <t>9</t>
        </is>
      </c>
      <c r="B7" s="93" t="n"/>
      <c r="C7" s="93" t="n"/>
      <c r="D7" s="98" t="inlineStr">
        <is>
          <t>7–8</t>
        </is>
      </c>
      <c r="E7" s="93" t="n"/>
      <c r="F7" s="93" t="n"/>
      <c r="G7" s="98" t="inlineStr">
        <is>
          <t>8</t>
        </is>
      </c>
      <c r="H7" s="99" t="inlineStr">
        <is>
          <t>Found downstream, or by the next process owner.</t>
        </is>
      </c>
      <c r="I7" s="93" t="n"/>
    </row>
    <row r="8" ht="30" customHeight="1" s="55">
      <c r="A8" s="98" t="inlineStr">
        <is>
          <t>7–8</t>
        </is>
      </c>
      <c r="B8" s="93" t="n"/>
      <c r="C8" s="93" t="n"/>
      <c r="D8" s="98" t="inlineStr">
        <is>
          <t>5–6</t>
        </is>
      </c>
      <c r="E8" s="93" t="n"/>
      <c r="F8" s="93" t="n"/>
      <c r="G8" s="98" t="inlineStr">
        <is>
          <t>7</t>
        </is>
      </c>
      <c r="H8" s="99" t="inlineStr">
        <is>
          <t>Operator visual or judgment. No record.</t>
        </is>
      </c>
      <c r="I8" s="93" t="n"/>
    </row>
    <row r="9" ht="30" customHeight="1" s="55">
      <c r="A9" s="98" t="inlineStr">
        <is>
          <t>5–6</t>
        </is>
      </c>
      <c r="B9" s="93" t="n"/>
      <c r="C9" s="93" t="n"/>
      <c r="D9" s="98" t="inlineStr">
        <is>
          <t>3–4</t>
        </is>
      </c>
      <c r="E9" s="93" t="n"/>
      <c r="F9" s="93" t="n"/>
      <c r="G9" s="98" t="inlineStr">
        <is>
          <t>5</t>
        </is>
      </c>
      <c r="H9" s="99" t="inlineStr">
        <is>
          <t>100% final inspection, manual, recorded.</t>
        </is>
      </c>
      <c r="I9" s="93" t="n"/>
    </row>
    <row r="10" ht="30" customHeight="1" s="55">
      <c r="A10" s="98" t="inlineStr">
        <is>
          <t>3–4</t>
        </is>
      </c>
      <c r="B10" s="93" t="n"/>
      <c r="C10" s="93" t="n"/>
      <c r="D10" s="98" t="inlineStr">
        <is>
          <t>1–2</t>
        </is>
      </c>
      <c r="E10" s="93" t="n"/>
      <c r="F10" s="93" t="n"/>
      <c r="G10" s="98" t="inlineStr">
        <is>
          <t>4</t>
        </is>
      </c>
      <c r="H10" s="99" t="inlineStr">
        <is>
          <t>Sample-based automated test.</t>
        </is>
      </c>
      <c r="I10" s="93" t="n"/>
    </row>
    <row r="11" ht="30" customHeight="1" s="55">
      <c r="A11" s="98" t="inlineStr">
        <is>
          <t>1–2</t>
        </is>
      </c>
      <c r="B11" s="93" t="n"/>
      <c r="C11" s="93" t="n"/>
      <c r="G11" s="98" t="inlineStr">
        <is>
          <t>3</t>
        </is>
      </c>
      <c r="H11" s="99" t="inlineStr">
        <is>
          <t>100% automated in process, recorded per part.</t>
        </is>
      </c>
      <c r="I11" s="93" t="n"/>
    </row>
    <row r="12" ht="30" customHeight="1" s="55">
      <c r="D12" s="100" t="inlineStr">
        <is>
          <t>Anchor on your own data. Scrap taken at the machine is usually not in the NCR log—tally it for four weeks first.</t>
        </is>
      </c>
      <c r="G12" s="98" t="inlineStr">
        <is>
          <t>2</t>
        </is>
      </c>
      <c r="H12" s="99" t="inlineStr">
        <is>
          <t>Automated with alarm or automatic hold.</t>
        </is>
      </c>
      <c r="I12" s="93" t="n"/>
    </row>
    <row r="13" ht="30" customHeight="1" s="55">
      <c r="A13" s="100" t="inlineStr">
        <is>
          <t>The most useful question is rarely 'how bad is the damage' but 'who finds it, and when'.</t>
        </is>
      </c>
      <c r="G13" s="98" t="inlineStr">
        <is>
          <t>1</t>
        </is>
      </c>
      <c r="H13" s="99" t="inlineStr">
        <is>
          <t>Error-proofed. Cannot occur, or cannot pass.</t>
        </is>
      </c>
      <c r="I13" s="93" t="n"/>
    </row>
    <row r="14"/>
    <row r="15" ht="30" customHeight="1" s="55">
      <c r="G15" s="100" t="inlineStr">
        <is>
          <t>Rate the control running today, on the cell where the part actually runs. Find the record before you write the number.</t>
        </is>
      </c>
    </row>
    <row r="16"/>
    <row r="17"/>
    <row r="18" ht="15" customHeight="1" s="55">
      <c r="A18" s="101" t="inlineStr">
        <is>
          <t>TRIGGER RULE—write it down before the first line is scored</t>
        </is>
      </c>
    </row>
    <row r="19" ht="15" customHeight="1" s="55">
      <c r="A19" s="102" t="inlineStr">
        <is>
          <t>Severity &gt;= 9</t>
        </is>
      </c>
      <c r="B19" s="103" t="inlineStr">
        <is>
          <t>Mandatory action regardless of RPN</t>
        </is>
      </c>
      <c r="C19" s="104" t="n"/>
      <c r="D19" s="104" t="n"/>
      <c r="E19" s="104" t="n"/>
      <c r="F19" s="104" t="n"/>
      <c r="G19" s="104" t="n"/>
      <c r="H19" s="104" t="n"/>
      <c r="I19" s="105" t="n"/>
    </row>
    <row r="20" ht="15" customHeight="1" s="55">
      <c r="A20" s="102" t="inlineStr">
        <is>
          <t>RPN &gt;= 100</t>
        </is>
      </c>
      <c r="B20" s="103" t="inlineStr">
        <is>
          <t>Mandatory action</t>
        </is>
      </c>
      <c r="C20" s="104" t="n"/>
      <c r="D20" s="104" t="n"/>
      <c r="E20" s="104" t="n"/>
      <c r="F20" s="104" t="n"/>
      <c r="G20" s="104" t="n"/>
      <c r="H20" s="104" t="n"/>
      <c r="I20" s="105" t="n"/>
    </row>
    <row r="21" ht="15" customHeight="1" s="55">
      <c r="A21" s="102" t="inlineStr">
        <is>
          <t>Severity &gt;= 7 AND Detection &gt;= 7</t>
        </is>
      </c>
      <c r="B21" s="103" t="inlineStr">
        <is>
          <t>Mandatory action—serious failure, weak detection</t>
        </is>
      </c>
      <c r="C21" s="104" t="n"/>
      <c r="D21" s="104" t="n"/>
      <c r="E21" s="104" t="n"/>
      <c r="F21" s="104" t="n"/>
      <c r="G21" s="104" t="n"/>
      <c r="H21" s="104" t="n"/>
      <c r="I21" s="105" t="n"/>
    </row>
    <row r="22" ht="15" customHeight="1" s="55">
      <c r="A22" s="102" t="inlineStr">
        <is>
          <t>All other cases</t>
        </is>
      </c>
      <c r="B22" s="103" t="inlineStr">
        <is>
          <t>Monitor at a defined interval</t>
        </is>
      </c>
      <c r="C22" s="104" t="n"/>
      <c r="D22" s="104" t="n"/>
      <c r="E22" s="104" t="n"/>
      <c r="F22" s="104" t="n"/>
      <c r="G22" s="104" t="n"/>
      <c r="H22" s="104" t="n"/>
      <c r="I22" s="105" t="n"/>
    </row>
  </sheetData>
  <sheetProtection selectLockedCells="0" selectUnlockedCells="0" sheet="1" objects="0" insertRows="1" insertHyperlinks="1" autoFilter="1" scenarios="0" formatColumns="1" deleteColumns="1" insertColumns="1" pivotTables="1" deleteRows="1" formatCells="1" formatRows="1" sort="1"/>
  <mergeCells count="13">
    <mergeCell ref="A1:D1"/>
    <mergeCell ref="B21:I21"/>
    <mergeCell ref="A13:C13"/>
    <mergeCell ref="D4:F4"/>
    <mergeCell ref="B20:I20"/>
    <mergeCell ref="D12:F12"/>
    <mergeCell ref="A18:I18"/>
    <mergeCell ref="G4:I4"/>
    <mergeCell ref="B19:I19"/>
    <mergeCell ref="B22:I22"/>
    <mergeCell ref="A2:D2"/>
    <mergeCell ref="A4:C4"/>
    <mergeCell ref="G15:I1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7.xml><?xml version="1.0" encoding="utf-8"?>
<worksheet xmlns="http://schemas.openxmlformats.org/spreadsheetml/2006/main">
  <sheetPr filterMode="0">
    <tabColor rgb="00CD232F"/>
    <outlinePr summaryBelow="1" summaryRight="1"/>
    <pageSetUpPr fitToPage="0"/>
  </sheetPr>
  <dimension ref="A1:S204"/>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s>
  <sheetData>
    <row r="1" ht="25.5" customHeight="1" s="55">
      <c r="A1" s="86" t="inlineStr">
        <is>
          <t>FORM 2 RISK REGISTER</t>
        </is>
      </c>
    </row>
    <row r="2" ht="15.75" customHeight="1" s="55">
      <c r="A2" s="87" t="inlineStr">
        <is>
          <t>200 rows of capacity. Formulas are already in place—type into the next empty row.</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row>
    <row r="5" ht="15" customHeight="1" s="55">
      <c r="A5" s="92" t="n"/>
      <c r="B5" s="92" t="n"/>
      <c r="C5" s="93" t="n"/>
      <c r="D5" s="93" t="n"/>
      <c r="E5" s="93" t="n"/>
      <c r="F5" s="92" t="n"/>
      <c r="G5" s="93" t="n"/>
      <c r="H5" s="92" t="n"/>
      <c r="I5" s="93" t="n"/>
      <c r="J5" s="92" t="n"/>
      <c r="K5" s="98">
        <f>IF(COUNT(F5,H5,J5)=3,F5*H5*J5,"")</f>
        <v/>
      </c>
      <c r="L5" s="106">
        <f>IF(K5="","",IF(OR(F5&gt;=9,K5&gt;=100,AND(F5&gt;=7,J5&gt;=7)),"ACTION REQUIRED","Monitor"))</f>
        <v/>
      </c>
      <c r="M5" s="107" t="n"/>
      <c r="N5" s="108" t="n"/>
      <c r="O5" s="107" t="n"/>
      <c r="P5" s="107" t="n"/>
      <c r="Q5" s="107" t="n"/>
      <c r="R5" s="98">
        <f>IF(COUNT(O5,P5,Q5)=3,O5*P5*Q5,"")</f>
        <v/>
      </c>
      <c r="S5" s="109">
        <f>IF(AND(O5&lt;&gt;"",F5&lt;&gt;"",O5&lt;&gt;F5),"SEVERITY CHANGED","")</f>
        <v/>
      </c>
    </row>
    <row r="6" ht="15" customHeight="1" s="55">
      <c r="A6" s="92" t="n"/>
      <c r="B6" s="92" t="n"/>
      <c r="C6" s="93" t="n"/>
      <c r="D6" s="93" t="n"/>
      <c r="E6" s="93" t="n"/>
      <c r="F6" s="92" t="n"/>
      <c r="G6" s="93" t="n"/>
      <c r="H6" s="92" t="n"/>
      <c r="I6" s="93" t="n"/>
      <c r="J6" s="92" t="n"/>
      <c r="K6" s="98">
        <f>IF(COUNT(F6,H6,J6)=3,F6*H6*J6,"")</f>
        <v/>
      </c>
      <c r="L6" s="106">
        <f>IF(K6="","",IF(OR(F6&gt;=9,K6&gt;=100,AND(F6&gt;=7,J6&gt;=7)),"ACTION REQUIRED","Monitor"))</f>
        <v/>
      </c>
      <c r="M6" s="107" t="n"/>
      <c r="N6" s="108" t="n"/>
      <c r="O6" s="107" t="n"/>
      <c r="P6" s="107" t="n"/>
      <c r="Q6" s="107" t="n"/>
      <c r="R6" s="98">
        <f>IF(COUNT(O6,P6,Q6)=3,O6*P6*Q6,"")</f>
        <v/>
      </c>
      <c r="S6" s="109">
        <f>IF(AND(O6&lt;&gt;"",F6&lt;&gt;"",O6&lt;&gt;F6),"SEVERITY CHANGED","")</f>
        <v/>
      </c>
    </row>
    <row r="7" ht="15" customHeight="1" s="55">
      <c r="A7" s="92" t="n"/>
      <c r="B7" s="92" t="n"/>
      <c r="C7" s="93" t="n"/>
      <c r="D7" s="93" t="n"/>
      <c r="E7" s="93" t="n"/>
      <c r="F7" s="92" t="n"/>
      <c r="G7" s="93" t="n"/>
      <c r="H7" s="92" t="n"/>
      <c r="I7" s="93" t="n"/>
      <c r="J7" s="92" t="n"/>
      <c r="K7" s="98">
        <f>IF(COUNT(F7,H7,J7)=3,F7*H7*J7,"")</f>
        <v/>
      </c>
      <c r="L7" s="106">
        <f>IF(K7="","",IF(OR(F7&gt;=9,K7&gt;=100,AND(F7&gt;=7,J7&gt;=7)),"ACTION REQUIRED","Monitor"))</f>
        <v/>
      </c>
      <c r="M7" s="107" t="n"/>
      <c r="N7" s="108" t="n"/>
      <c r="O7" s="107" t="n"/>
      <c r="P7" s="107" t="n"/>
      <c r="Q7" s="107" t="n"/>
      <c r="R7" s="98">
        <f>IF(COUNT(O7,P7,Q7)=3,O7*P7*Q7,"")</f>
        <v/>
      </c>
      <c r="S7" s="109">
        <f>IF(AND(O7&lt;&gt;"",F7&lt;&gt;"",O7&lt;&gt;F7),"SEVERITY CHANGED","")</f>
        <v/>
      </c>
    </row>
    <row r="8" ht="15" customHeight="1" s="55">
      <c r="A8" s="92" t="n"/>
      <c r="B8" s="92" t="n"/>
      <c r="C8" s="93" t="n"/>
      <c r="D8" s="93" t="n"/>
      <c r="E8" s="93" t="n"/>
      <c r="F8" s="92" t="n"/>
      <c r="G8" s="93" t="n"/>
      <c r="H8" s="92" t="n"/>
      <c r="I8" s="93" t="n"/>
      <c r="J8" s="92" t="n"/>
      <c r="K8" s="98">
        <f>IF(COUNT(F8,H8,J8)=3,F8*H8*J8,"")</f>
        <v/>
      </c>
      <c r="L8" s="106">
        <f>IF(K8="","",IF(OR(F8&gt;=9,K8&gt;=100,AND(F8&gt;=7,J8&gt;=7)),"ACTION REQUIRED","Monitor"))</f>
        <v/>
      </c>
      <c r="M8" s="107" t="n"/>
      <c r="N8" s="108" t="n"/>
      <c r="O8" s="107" t="n"/>
      <c r="P8" s="107" t="n"/>
      <c r="Q8" s="107" t="n"/>
      <c r="R8" s="98">
        <f>IF(COUNT(O8,P8,Q8)=3,O8*P8*Q8,"")</f>
        <v/>
      </c>
      <c r="S8" s="109">
        <f>IF(AND(O8&lt;&gt;"",F8&lt;&gt;"",O8&lt;&gt;F8),"SEVERITY CHANGED","")</f>
        <v/>
      </c>
    </row>
    <row r="9" ht="15" customHeight="1" s="55">
      <c r="A9" s="92" t="n"/>
      <c r="B9" s="92" t="n"/>
      <c r="C9" s="93" t="n"/>
      <c r="D9" s="93" t="n"/>
      <c r="E9" s="93" t="n"/>
      <c r="F9" s="92" t="n"/>
      <c r="G9" s="93" t="n"/>
      <c r="H9" s="92" t="n"/>
      <c r="I9" s="93" t="n"/>
      <c r="J9" s="92" t="n"/>
      <c r="K9" s="98">
        <f>IF(COUNT(F9,H9,J9)=3,F9*H9*J9,"")</f>
        <v/>
      </c>
      <c r="L9" s="106">
        <f>IF(K9="","",IF(OR(F9&gt;=9,K9&gt;=100,AND(F9&gt;=7,J9&gt;=7)),"ACTION REQUIRED","Monitor"))</f>
        <v/>
      </c>
      <c r="M9" s="107" t="n"/>
      <c r="N9" s="108" t="n"/>
      <c r="O9" s="107" t="n"/>
      <c r="P9" s="107" t="n"/>
      <c r="Q9" s="107" t="n"/>
      <c r="R9" s="98">
        <f>IF(COUNT(O9,P9,Q9)=3,O9*P9*Q9,"")</f>
        <v/>
      </c>
      <c r="S9" s="109">
        <f>IF(AND(O9&lt;&gt;"",F9&lt;&gt;"",O9&lt;&gt;F9),"SEVERITY CHANGED","")</f>
        <v/>
      </c>
    </row>
    <row r="10" ht="15" customHeight="1" s="55">
      <c r="A10" s="92" t="n"/>
      <c r="B10" s="92" t="n"/>
      <c r="C10" s="93" t="n"/>
      <c r="D10" s="93" t="n"/>
      <c r="E10" s="93" t="n"/>
      <c r="F10" s="92" t="n"/>
      <c r="G10" s="93" t="n"/>
      <c r="H10" s="92" t="n"/>
      <c r="I10" s="93" t="n"/>
      <c r="J10" s="92" t="n"/>
      <c r="K10" s="98">
        <f>IF(COUNT(F10,H10,J10)=3,F10*H10*J10,"")</f>
        <v/>
      </c>
      <c r="L10" s="106">
        <f>IF(K10="","",IF(OR(F10&gt;=9,K10&gt;=100,AND(F10&gt;=7,J10&gt;=7)),"ACTION REQUIRED","Monitor"))</f>
        <v/>
      </c>
      <c r="M10" s="107" t="n"/>
      <c r="N10" s="108" t="n"/>
      <c r="O10" s="107" t="n"/>
      <c r="P10" s="107" t="n"/>
      <c r="Q10" s="107" t="n"/>
      <c r="R10" s="98">
        <f>IF(COUNT(O10,P10,Q10)=3,O10*P10*Q10,"")</f>
        <v/>
      </c>
      <c r="S10" s="109">
        <f>IF(AND(O10&lt;&gt;"",F10&lt;&gt;"",O10&lt;&gt;F10),"SEVERITY CHANGED","")</f>
        <v/>
      </c>
    </row>
    <row r="11" ht="15" customHeight="1" s="55">
      <c r="A11" s="92" t="n"/>
      <c r="B11" s="92" t="n"/>
      <c r="C11" s="93" t="n"/>
      <c r="D11" s="93" t="n"/>
      <c r="E11" s="93" t="n"/>
      <c r="F11" s="92" t="n"/>
      <c r="G11" s="93" t="n"/>
      <c r="H11" s="92" t="n"/>
      <c r="I11" s="93" t="n"/>
      <c r="J11" s="92" t="n"/>
      <c r="K11" s="98">
        <f>IF(COUNT(F11,H11,J11)=3,F11*H11*J11,"")</f>
        <v/>
      </c>
      <c r="L11" s="106">
        <f>IF(K11="","",IF(OR(F11&gt;=9,K11&gt;=100,AND(F11&gt;=7,J11&gt;=7)),"ACTION REQUIRED","Monitor"))</f>
        <v/>
      </c>
      <c r="M11" s="107" t="n"/>
      <c r="N11" s="108" t="n"/>
      <c r="O11" s="107" t="n"/>
      <c r="P11" s="107" t="n"/>
      <c r="Q11" s="107" t="n"/>
      <c r="R11" s="98">
        <f>IF(COUNT(O11,P11,Q11)=3,O11*P11*Q11,"")</f>
        <v/>
      </c>
      <c r="S11" s="109">
        <f>IF(AND(O11&lt;&gt;"",F11&lt;&gt;"",O11&lt;&gt;F11),"SEVERITY CHANGED","")</f>
        <v/>
      </c>
    </row>
    <row r="12" ht="15" customHeight="1" s="55">
      <c r="A12" s="92" t="n"/>
      <c r="B12" s="92" t="n"/>
      <c r="C12" s="93" t="n"/>
      <c r="D12" s="93" t="n"/>
      <c r="E12" s="93" t="n"/>
      <c r="F12" s="92" t="n"/>
      <c r="G12" s="93" t="n"/>
      <c r="H12" s="92" t="n"/>
      <c r="I12" s="93" t="n"/>
      <c r="J12" s="92" t="n"/>
      <c r="K12" s="98">
        <f>IF(COUNT(F12,H12,J12)=3,F12*H12*J12,"")</f>
        <v/>
      </c>
      <c r="L12" s="106">
        <f>IF(K12="","",IF(OR(F12&gt;=9,K12&gt;=100,AND(F12&gt;=7,J12&gt;=7)),"ACTION REQUIRED","Monitor"))</f>
        <v/>
      </c>
      <c r="M12" s="107" t="n"/>
      <c r="N12" s="108" t="n"/>
      <c r="O12" s="107" t="n"/>
      <c r="P12" s="107" t="n"/>
      <c r="Q12" s="107" t="n"/>
      <c r="R12" s="98">
        <f>IF(COUNT(O12,P12,Q12)=3,O12*P12*Q12,"")</f>
        <v/>
      </c>
      <c r="S12" s="109">
        <f>IF(AND(O12&lt;&gt;"",F12&lt;&gt;"",O12&lt;&gt;F12),"SEVERITY CHANGED","")</f>
        <v/>
      </c>
    </row>
    <row r="13" ht="15" customHeight="1" s="55">
      <c r="A13" s="92" t="n"/>
      <c r="B13" s="92" t="n"/>
      <c r="C13" s="93" t="n"/>
      <c r="D13" s="93" t="n"/>
      <c r="E13" s="93" t="n"/>
      <c r="F13" s="92" t="n"/>
      <c r="G13" s="93" t="n"/>
      <c r="H13" s="92" t="n"/>
      <c r="I13" s="93" t="n"/>
      <c r="J13" s="92" t="n"/>
      <c r="K13" s="98">
        <f>IF(COUNT(F13,H13,J13)=3,F13*H13*J13,"")</f>
        <v/>
      </c>
      <c r="L13" s="106">
        <f>IF(K13="","",IF(OR(F13&gt;=9,K13&gt;=100,AND(F13&gt;=7,J13&gt;=7)),"ACTION REQUIRED","Monitor"))</f>
        <v/>
      </c>
      <c r="M13" s="107" t="n"/>
      <c r="N13" s="108" t="n"/>
      <c r="O13" s="107" t="n"/>
      <c r="P13" s="107" t="n"/>
      <c r="Q13" s="107" t="n"/>
      <c r="R13" s="98">
        <f>IF(COUNT(O13,P13,Q13)=3,O13*P13*Q13,"")</f>
        <v/>
      </c>
      <c r="S13" s="109">
        <f>IF(AND(O13&lt;&gt;"",F13&lt;&gt;"",O13&lt;&gt;F13),"SEVERITY CHANGED","")</f>
        <v/>
      </c>
    </row>
    <row r="14" ht="15" customHeight="1" s="55">
      <c r="A14" s="92" t="n"/>
      <c r="B14" s="92" t="n"/>
      <c r="C14" s="93" t="n"/>
      <c r="D14" s="93" t="n"/>
      <c r="E14" s="93" t="n"/>
      <c r="F14" s="92" t="n"/>
      <c r="G14" s="93" t="n"/>
      <c r="H14" s="92" t="n"/>
      <c r="I14" s="93" t="n"/>
      <c r="J14" s="92" t="n"/>
      <c r="K14" s="98">
        <f>IF(COUNT(F14,H14,J14)=3,F14*H14*J14,"")</f>
        <v/>
      </c>
      <c r="L14" s="106">
        <f>IF(K14="","",IF(OR(F14&gt;=9,K14&gt;=100,AND(F14&gt;=7,J14&gt;=7)),"ACTION REQUIRED","Monitor"))</f>
        <v/>
      </c>
      <c r="M14" s="107" t="n"/>
      <c r="N14" s="108" t="n"/>
      <c r="O14" s="107" t="n"/>
      <c r="P14" s="107" t="n"/>
      <c r="Q14" s="107" t="n"/>
      <c r="R14" s="98">
        <f>IF(COUNT(O14,P14,Q14)=3,O14*P14*Q14,"")</f>
        <v/>
      </c>
      <c r="S14" s="109">
        <f>IF(AND(O14&lt;&gt;"",F14&lt;&gt;"",O14&lt;&gt;F14),"SEVERITY CHANGED","")</f>
        <v/>
      </c>
    </row>
    <row r="15" ht="15" customHeight="1" s="55">
      <c r="A15" s="92" t="n"/>
      <c r="B15" s="92" t="n"/>
      <c r="C15" s="93" t="n"/>
      <c r="D15" s="93" t="n"/>
      <c r="E15" s="93" t="n"/>
      <c r="F15" s="92" t="n"/>
      <c r="G15" s="93" t="n"/>
      <c r="H15" s="92" t="n"/>
      <c r="I15" s="93" t="n"/>
      <c r="J15" s="92" t="n"/>
      <c r="K15" s="98">
        <f>IF(COUNT(F15,H15,J15)=3,F15*H15*J15,"")</f>
        <v/>
      </c>
      <c r="L15" s="106">
        <f>IF(K15="","",IF(OR(F15&gt;=9,K15&gt;=100,AND(F15&gt;=7,J15&gt;=7)),"ACTION REQUIRED","Monitor"))</f>
        <v/>
      </c>
      <c r="M15" s="107" t="n"/>
      <c r="N15" s="108" t="n"/>
      <c r="O15" s="107" t="n"/>
      <c r="P15" s="107" t="n"/>
      <c r="Q15" s="107" t="n"/>
      <c r="R15" s="98">
        <f>IF(COUNT(O15,P15,Q15)=3,O15*P15*Q15,"")</f>
        <v/>
      </c>
      <c r="S15" s="109">
        <f>IF(AND(O15&lt;&gt;"",F15&lt;&gt;"",O15&lt;&gt;F15),"SEVERITY CHANGED","")</f>
        <v/>
      </c>
    </row>
    <row r="16" ht="15" customHeight="1" s="55">
      <c r="A16" s="92" t="n"/>
      <c r="B16" s="92" t="n"/>
      <c r="C16" s="93" t="n"/>
      <c r="D16" s="93" t="n"/>
      <c r="E16" s="93" t="n"/>
      <c r="F16" s="92" t="n"/>
      <c r="G16" s="93" t="n"/>
      <c r="H16" s="92" t="n"/>
      <c r="I16" s="93" t="n"/>
      <c r="J16" s="92" t="n"/>
      <c r="K16" s="98">
        <f>IF(COUNT(F16,H16,J16)=3,F16*H16*J16,"")</f>
        <v/>
      </c>
      <c r="L16" s="106">
        <f>IF(K16="","",IF(OR(F16&gt;=9,K16&gt;=100,AND(F16&gt;=7,J16&gt;=7)),"ACTION REQUIRED","Monitor"))</f>
        <v/>
      </c>
      <c r="M16" s="107" t="n"/>
      <c r="N16" s="108" t="n"/>
      <c r="O16" s="107" t="n"/>
      <c r="P16" s="107" t="n"/>
      <c r="Q16" s="107" t="n"/>
      <c r="R16" s="98">
        <f>IF(COUNT(O16,P16,Q16)=3,O16*P16*Q16,"")</f>
        <v/>
      </c>
      <c r="S16" s="109">
        <f>IF(AND(O16&lt;&gt;"",F16&lt;&gt;"",O16&lt;&gt;F16),"SEVERITY CHANGED","")</f>
        <v/>
      </c>
    </row>
    <row r="17" ht="15" customHeight="1" s="55">
      <c r="A17" s="92" t="n"/>
      <c r="B17" s="92" t="n"/>
      <c r="C17" s="93" t="n"/>
      <c r="D17" s="93" t="n"/>
      <c r="E17" s="93" t="n"/>
      <c r="F17" s="92" t="n"/>
      <c r="G17" s="93" t="n"/>
      <c r="H17" s="92" t="n"/>
      <c r="I17" s="93" t="n"/>
      <c r="J17" s="92" t="n"/>
      <c r="K17" s="98">
        <f>IF(COUNT(F17,H17,J17)=3,F17*H17*J17,"")</f>
        <v/>
      </c>
      <c r="L17" s="106">
        <f>IF(K17="","",IF(OR(F17&gt;=9,K17&gt;=100,AND(F17&gt;=7,J17&gt;=7)),"ACTION REQUIRED","Monitor"))</f>
        <v/>
      </c>
      <c r="M17" s="107" t="n"/>
      <c r="N17" s="108" t="n"/>
      <c r="O17" s="107" t="n"/>
      <c r="P17" s="107" t="n"/>
      <c r="Q17" s="107" t="n"/>
      <c r="R17" s="98">
        <f>IF(COUNT(O17,P17,Q17)=3,O17*P17*Q17,"")</f>
        <v/>
      </c>
      <c r="S17" s="109">
        <f>IF(AND(O17&lt;&gt;"",F17&lt;&gt;"",O17&lt;&gt;F17),"SEVERITY CHANGED","")</f>
        <v/>
      </c>
    </row>
    <row r="18" ht="15" customHeight="1" s="55">
      <c r="A18" s="92" t="n"/>
      <c r="B18" s="92" t="n"/>
      <c r="C18" s="93" t="n"/>
      <c r="D18" s="93" t="n"/>
      <c r="E18" s="93" t="n"/>
      <c r="F18" s="92" t="n"/>
      <c r="G18" s="93" t="n"/>
      <c r="H18" s="92" t="n"/>
      <c r="I18" s="93" t="n"/>
      <c r="J18" s="92" t="n"/>
      <c r="K18" s="98">
        <f>IF(COUNT(F18,H18,J18)=3,F18*H18*J18,"")</f>
        <v/>
      </c>
      <c r="L18" s="106">
        <f>IF(K18="","",IF(OR(F18&gt;=9,K18&gt;=100,AND(F18&gt;=7,J18&gt;=7)),"ACTION REQUIRED","Monitor"))</f>
        <v/>
      </c>
      <c r="M18" s="107" t="n"/>
      <c r="N18" s="108" t="n"/>
      <c r="O18" s="107" t="n"/>
      <c r="P18" s="107" t="n"/>
      <c r="Q18" s="107" t="n"/>
      <c r="R18" s="98">
        <f>IF(COUNT(O18,P18,Q18)=3,O18*P18*Q18,"")</f>
        <v/>
      </c>
      <c r="S18" s="109">
        <f>IF(AND(O18&lt;&gt;"",F18&lt;&gt;"",O18&lt;&gt;F18),"SEVERITY CHANGED","")</f>
        <v/>
      </c>
    </row>
    <row r="19" ht="15" customHeight="1" s="55">
      <c r="A19" s="92" t="n"/>
      <c r="B19" s="92" t="n"/>
      <c r="C19" s="93" t="n"/>
      <c r="D19" s="93" t="n"/>
      <c r="E19" s="93" t="n"/>
      <c r="F19" s="92" t="n"/>
      <c r="G19" s="93" t="n"/>
      <c r="H19" s="92" t="n"/>
      <c r="I19" s="93" t="n"/>
      <c r="J19" s="92" t="n"/>
      <c r="K19" s="98">
        <f>IF(COUNT(F19,H19,J19)=3,F19*H19*J19,"")</f>
        <v/>
      </c>
      <c r="L19" s="106">
        <f>IF(K19="","",IF(OR(F19&gt;=9,K19&gt;=100,AND(F19&gt;=7,J19&gt;=7)),"ACTION REQUIRED","Monitor"))</f>
        <v/>
      </c>
      <c r="M19" s="107" t="n"/>
      <c r="N19" s="108" t="n"/>
      <c r="O19" s="107" t="n"/>
      <c r="P19" s="107" t="n"/>
      <c r="Q19" s="107" t="n"/>
      <c r="R19" s="98">
        <f>IF(COUNT(O19,P19,Q19)=3,O19*P19*Q19,"")</f>
        <v/>
      </c>
      <c r="S19" s="109">
        <f>IF(AND(O19&lt;&gt;"",F19&lt;&gt;"",O19&lt;&gt;F19),"SEVERITY CHANGED","")</f>
        <v/>
      </c>
    </row>
    <row r="20" ht="15" customHeight="1" s="55">
      <c r="A20" s="92" t="n"/>
      <c r="B20" s="92" t="n"/>
      <c r="C20" s="93" t="n"/>
      <c r="D20" s="93" t="n"/>
      <c r="E20" s="93" t="n"/>
      <c r="F20" s="92" t="n"/>
      <c r="G20" s="93" t="n"/>
      <c r="H20" s="92" t="n"/>
      <c r="I20" s="93" t="n"/>
      <c r="J20" s="92" t="n"/>
      <c r="K20" s="98">
        <f>IF(COUNT(F20,H20,J20)=3,F20*H20*J20,"")</f>
        <v/>
      </c>
      <c r="L20" s="106">
        <f>IF(K20="","",IF(OR(F20&gt;=9,K20&gt;=100,AND(F20&gt;=7,J20&gt;=7)),"ACTION REQUIRED","Monitor"))</f>
        <v/>
      </c>
      <c r="M20" s="107" t="n"/>
      <c r="N20" s="108" t="n"/>
      <c r="O20" s="107" t="n"/>
      <c r="P20" s="107" t="n"/>
      <c r="Q20" s="107" t="n"/>
      <c r="R20" s="98">
        <f>IF(COUNT(O20,P20,Q20)=3,O20*P20*Q20,"")</f>
        <v/>
      </c>
      <c r="S20" s="109">
        <f>IF(AND(O20&lt;&gt;"",F20&lt;&gt;"",O20&lt;&gt;F20),"SEVERITY CHANGED","")</f>
        <v/>
      </c>
    </row>
    <row r="21" ht="15" customHeight="1" s="55">
      <c r="A21" s="92" t="n"/>
      <c r="B21" s="92" t="n"/>
      <c r="C21" s="93" t="n"/>
      <c r="D21" s="93" t="n"/>
      <c r="E21" s="93" t="n"/>
      <c r="F21" s="92" t="n"/>
      <c r="G21" s="93" t="n"/>
      <c r="H21" s="92" t="n"/>
      <c r="I21" s="93" t="n"/>
      <c r="J21" s="92" t="n"/>
      <c r="K21" s="98">
        <f>IF(COUNT(F21,H21,J21)=3,F21*H21*J21,"")</f>
        <v/>
      </c>
      <c r="L21" s="106">
        <f>IF(K21="","",IF(OR(F21&gt;=9,K21&gt;=100,AND(F21&gt;=7,J21&gt;=7)),"ACTION REQUIRED","Monitor"))</f>
        <v/>
      </c>
      <c r="M21" s="107" t="n"/>
      <c r="N21" s="108" t="n"/>
      <c r="O21" s="107" t="n"/>
      <c r="P21" s="107" t="n"/>
      <c r="Q21" s="107" t="n"/>
      <c r="R21" s="98">
        <f>IF(COUNT(O21,P21,Q21)=3,O21*P21*Q21,"")</f>
        <v/>
      </c>
      <c r="S21" s="109">
        <f>IF(AND(O21&lt;&gt;"",F21&lt;&gt;"",O21&lt;&gt;F21),"SEVERITY CHANGED","")</f>
        <v/>
      </c>
    </row>
    <row r="22" ht="15" customHeight="1" s="55">
      <c r="A22" s="92" t="n"/>
      <c r="B22" s="92" t="n"/>
      <c r="C22" s="93" t="n"/>
      <c r="D22" s="93" t="n"/>
      <c r="E22" s="93" t="n"/>
      <c r="F22" s="92" t="n"/>
      <c r="G22" s="93" t="n"/>
      <c r="H22" s="92" t="n"/>
      <c r="I22" s="93" t="n"/>
      <c r="J22" s="92" t="n"/>
      <c r="K22" s="98">
        <f>IF(COUNT(F22,H22,J22)=3,F22*H22*J22,"")</f>
        <v/>
      </c>
      <c r="L22" s="106">
        <f>IF(K22="","",IF(OR(F22&gt;=9,K22&gt;=100,AND(F22&gt;=7,J22&gt;=7)),"ACTION REQUIRED","Monitor"))</f>
        <v/>
      </c>
      <c r="M22" s="107" t="n"/>
      <c r="N22" s="108" t="n"/>
      <c r="O22" s="107" t="n"/>
      <c r="P22" s="107" t="n"/>
      <c r="Q22" s="107" t="n"/>
      <c r="R22" s="98">
        <f>IF(COUNT(O22,P22,Q22)=3,O22*P22*Q22,"")</f>
        <v/>
      </c>
      <c r="S22" s="109">
        <f>IF(AND(O22&lt;&gt;"",F22&lt;&gt;"",O22&lt;&gt;F22),"SEVERITY CHANGED","")</f>
        <v/>
      </c>
    </row>
    <row r="23" ht="15" customHeight="1" s="55">
      <c r="A23" s="92" t="n"/>
      <c r="B23" s="92" t="n"/>
      <c r="C23" s="93" t="n"/>
      <c r="D23" s="93" t="n"/>
      <c r="E23" s="93" t="n"/>
      <c r="F23" s="92" t="n"/>
      <c r="G23" s="93" t="n"/>
      <c r="H23" s="92" t="n"/>
      <c r="I23" s="93" t="n"/>
      <c r="J23" s="92" t="n"/>
      <c r="K23" s="98">
        <f>IF(COUNT(F23,H23,J23)=3,F23*H23*J23,"")</f>
        <v/>
      </c>
      <c r="L23" s="106">
        <f>IF(K23="","",IF(OR(F23&gt;=9,K23&gt;=100,AND(F23&gt;=7,J23&gt;=7)),"ACTION REQUIRED","Monitor"))</f>
        <v/>
      </c>
      <c r="M23" s="107" t="n"/>
      <c r="N23" s="108" t="n"/>
      <c r="O23" s="107" t="n"/>
      <c r="P23" s="107" t="n"/>
      <c r="Q23" s="107" t="n"/>
      <c r="R23" s="98">
        <f>IF(COUNT(O23,P23,Q23)=3,O23*P23*Q23,"")</f>
        <v/>
      </c>
      <c r="S23" s="109">
        <f>IF(AND(O23&lt;&gt;"",F23&lt;&gt;"",O23&lt;&gt;F23),"SEVERITY CHANGED","")</f>
        <v/>
      </c>
    </row>
    <row r="24" ht="15" customHeight="1" s="55">
      <c r="A24" s="92" t="n"/>
      <c r="B24" s="92" t="n"/>
      <c r="C24" s="93" t="n"/>
      <c r="D24" s="93" t="n"/>
      <c r="E24" s="93" t="n"/>
      <c r="F24" s="92" t="n"/>
      <c r="G24" s="93" t="n"/>
      <c r="H24" s="92" t="n"/>
      <c r="I24" s="93" t="n"/>
      <c r="J24" s="92" t="n"/>
      <c r="K24" s="98">
        <f>IF(COUNT(F24,H24,J24)=3,F24*H24*J24,"")</f>
        <v/>
      </c>
      <c r="L24" s="106">
        <f>IF(K24="","",IF(OR(F24&gt;=9,K24&gt;=100,AND(F24&gt;=7,J24&gt;=7)),"ACTION REQUIRED","Monitor"))</f>
        <v/>
      </c>
      <c r="M24" s="107" t="n"/>
      <c r="N24" s="108" t="n"/>
      <c r="O24" s="107" t="n"/>
      <c r="P24" s="107" t="n"/>
      <c r="Q24" s="107" t="n"/>
      <c r="R24" s="98">
        <f>IF(COUNT(O24,P24,Q24)=3,O24*P24*Q24,"")</f>
        <v/>
      </c>
      <c r="S24" s="109">
        <f>IF(AND(O24&lt;&gt;"",F24&lt;&gt;"",O24&lt;&gt;F24),"SEVERITY CHANGED","")</f>
        <v/>
      </c>
    </row>
    <row r="25" ht="15" customHeight="1" s="55">
      <c r="A25" s="92" t="n"/>
      <c r="B25" s="92" t="n"/>
      <c r="C25" s="93" t="n"/>
      <c r="D25" s="93" t="n"/>
      <c r="E25" s="93" t="n"/>
      <c r="F25" s="92" t="n"/>
      <c r="G25" s="93" t="n"/>
      <c r="H25" s="92" t="n"/>
      <c r="I25" s="93" t="n"/>
      <c r="J25" s="92" t="n"/>
      <c r="K25" s="98">
        <f>IF(COUNT(F25,H25,J25)=3,F25*H25*J25,"")</f>
        <v/>
      </c>
      <c r="L25" s="106">
        <f>IF(K25="","",IF(OR(F25&gt;=9,K25&gt;=100,AND(F25&gt;=7,J25&gt;=7)),"ACTION REQUIRED","Monitor"))</f>
        <v/>
      </c>
      <c r="M25" s="107" t="n"/>
      <c r="N25" s="108" t="n"/>
      <c r="O25" s="107" t="n"/>
      <c r="P25" s="107" t="n"/>
      <c r="Q25" s="107" t="n"/>
      <c r="R25" s="98">
        <f>IF(COUNT(O25,P25,Q25)=3,O25*P25*Q25,"")</f>
        <v/>
      </c>
      <c r="S25" s="109">
        <f>IF(AND(O25&lt;&gt;"",F25&lt;&gt;"",O25&lt;&gt;F25),"SEVERITY CHANGED","")</f>
        <v/>
      </c>
    </row>
    <row r="26" ht="15" customHeight="1" s="55">
      <c r="A26" s="92" t="n"/>
      <c r="B26" s="92" t="n"/>
      <c r="C26" s="93" t="n"/>
      <c r="D26" s="93" t="n"/>
      <c r="E26" s="93" t="n"/>
      <c r="F26" s="92" t="n"/>
      <c r="G26" s="93" t="n"/>
      <c r="H26" s="92" t="n"/>
      <c r="I26" s="93" t="n"/>
      <c r="J26" s="92" t="n"/>
      <c r="K26" s="98">
        <f>IF(COUNT(F26,H26,J26)=3,F26*H26*J26,"")</f>
        <v/>
      </c>
      <c r="L26" s="106">
        <f>IF(K26="","",IF(OR(F26&gt;=9,K26&gt;=100,AND(F26&gt;=7,J26&gt;=7)),"ACTION REQUIRED","Monitor"))</f>
        <v/>
      </c>
      <c r="M26" s="107" t="n"/>
      <c r="N26" s="108" t="n"/>
      <c r="O26" s="107" t="n"/>
      <c r="P26" s="107" t="n"/>
      <c r="Q26" s="107" t="n"/>
      <c r="R26" s="98">
        <f>IF(COUNT(O26,P26,Q26)=3,O26*P26*Q26,"")</f>
        <v/>
      </c>
      <c r="S26" s="109">
        <f>IF(AND(O26&lt;&gt;"",F26&lt;&gt;"",O26&lt;&gt;F26),"SEVERITY CHANGED","")</f>
        <v/>
      </c>
    </row>
    <row r="27" ht="15" customHeight="1" s="55">
      <c r="A27" s="92" t="n"/>
      <c r="B27" s="92" t="n"/>
      <c r="C27" s="93" t="n"/>
      <c r="D27" s="93" t="n"/>
      <c r="E27" s="93" t="n"/>
      <c r="F27" s="92" t="n"/>
      <c r="G27" s="93" t="n"/>
      <c r="H27" s="92" t="n"/>
      <c r="I27" s="93" t="n"/>
      <c r="J27" s="92" t="n"/>
      <c r="K27" s="98">
        <f>IF(COUNT(F27,H27,J27)=3,F27*H27*J27,"")</f>
        <v/>
      </c>
      <c r="L27" s="106">
        <f>IF(K27="","",IF(OR(F27&gt;=9,K27&gt;=100,AND(F27&gt;=7,J27&gt;=7)),"ACTION REQUIRED","Monitor"))</f>
        <v/>
      </c>
      <c r="M27" s="107" t="n"/>
      <c r="N27" s="108" t="n"/>
      <c r="O27" s="107" t="n"/>
      <c r="P27" s="107" t="n"/>
      <c r="Q27" s="107" t="n"/>
      <c r="R27" s="98">
        <f>IF(COUNT(O27,P27,Q27)=3,O27*P27*Q27,"")</f>
        <v/>
      </c>
      <c r="S27" s="109">
        <f>IF(AND(O27&lt;&gt;"",F27&lt;&gt;"",O27&lt;&gt;F27),"SEVERITY CHANGED","")</f>
        <v/>
      </c>
    </row>
    <row r="28" ht="15" customHeight="1" s="55">
      <c r="A28" s="92" t="n"/>
      <c r="B28" s="92" t="n"/>
      <c r="C28" s="93" t="n"/>
      <c r="D28" s="93" t="n"/>
      <c r="E28" s="93" t="n"/>
      <c r="F28" s="92" t="n"/>
      <c r="G28" s="93" t="n"/>
      <c r="H28" s="92" t="n"/>
      <c r="I28" s="93" t="n"/>
      <c r="J28" s="92" t="n"/>
      <c r="K28" s="98">
        <f>IF(COUNT(F28,H28,J28)=3,F28*H28*J28,"")</f>
        <v/>
      </c>
      <c r="L28" s="106">
        <f>IF(K28="","",IF(OR(F28&gt;=9,K28&gt;=100,AND(F28&gt;=7,J28&gt;=7)),"ACTION REQUIRED","Monitor"))</f>
        <v/>
      </c>
      <c r="M28" s="107" t="n"/>
      <c r="N28" s="108" t="n"/>
      <c r="O28" s="107" t="n"/>
      <c r="P28" s="107" t="n"/>
      <c r="Q28" s="107" t="n"/>
      <c r="R28" s="98">
        <f>IF(COUNT(O28,P28,Q28)=3,O28*P28*Q28,"")</f>
        <v/>
      </c>
      <c r="S28" s="109">
        <f>IF(AND(O28&lt;&gt;"",F28&lt;&gt;"",O28&lt;&gt;F28),"SEVERITY CHANGED","")</f>
        <v/>
      </c>
    </row>
    <row r="29" ht="15" customHeight="1" s="55">
      <c r="A29" s="92" t="n"/>
      <c r="B29" s="92" t="n"/>
      <c r="C29" s="93" t="n"/>
      <c r="D29" s="93" t="n"/>
      <c r="E29" s="93" t="n"/>
      <c r="F29" s="92" t="n"/>
      <c r="G29" s="93" t="n"/>
      <c r="H29" s="92" t="n"/>
      <c r="I29" s="93" t="n"/>
      <c r="J29" s="92" t="n"/>
      <c r="K29" s="98">
        <f>IF(COUNT(F29,H29,J29)=3,F29*H29*J29,"")</f>
        <v/>
      </c>
      <c r="L29" s="106">
        <f>IF(K29="","",IF(OR(F29&gt;=9,K29&gt;=100,AND(F29&gt;=7,J29&gt;=7)),"ACTION REQUIRED","Monitor"))</f>
        <v/>
      </c>
      <c r="M29" s="107" t="n"/>
      <c r="N29" s="108" t="n"/>
      <c r="O29" s="107" t="n"/>
      <c r="P29" s="107" t="n"/>
      <c r="Q29" s="107" t="n"/>
      <c r="R29" s="98">
        <f>IF(COUNT(O29,P29,Q29)=3,O29*P29*Q29,"")</f>
        <v/>
      </c>
      <c r="S29" s="109">
        <f>IF(AND(O29&lt;&gt;"",F29&lt;&gt;"",O29&lt;&gt;F29),"SEVERITY CHANGED","")</f>
        <v/>
      </c>
    </row>
    <row r="30" ht="15" customHeight="1" s="55">
      <c r="A30" s="92" t="n"/>
      <c r="B30" s="92" t="n"/>
      <c r="C30" s="93" t="n"/>
      <c r="D30" s="93" t="n"/>
      <c r="E30" s="93" t="n"/>
      <c r="F30" s="92" t="n"/>
      <c r="G30" s="93" t="n"/>
      <c r="H30" s="92" t="n"/>
      <c r="I30" s="93" t="n"/>
      <c r="J30" s="92" t="n"/>
      <c r="K30" s="98">
        <f>IF(COUNT(F30,H30,J30)=3,F30*H30*J30,"")</f>
        <v/>
      </c>
      <c r="L30" s="106">
        <f>IF(K30="","",IF(OR(F30&gt;=9,K30&gt;=100,AND(F30&gt;=7,J30&gt;=7)),"ACTION REQUIRED","Monitor"))</f>
        <v/>
      </c>
      <c r="M30" s="107" t="n"/>
      <c r="N30" s="108" t="n"/>
      <c r="O30" s="107" t="n"/>
      <c r="P30" s="107" t="n"/>
      <c r="Q30" s="107" t="n"/>
      <c r="R30" s="98">
        <f>IF(COUNT(O30,P30,Q30)=3,O30*P30*Q30,"")</f>
        <v/>
      </c>
      <c r="S30" s="109">
        <f>IF(AND(O30&lt;&gt;"",F30&lt;&gt;"",O30&lt;&gt;F30),"SEVERITY CHANGED","")</f>
        <v/>
      </c>
    </row>
    <row r="31" ht="15" customHeight="1" s="55">
      <c r="A31" s="92" t="n"/>
      <c r="B31" s="92" t="n"/>
      <c r="C31" s="93" t="n"/>
      <c r="D31" s="93" t="n"/>
      <c r="E31" s="93" t="n"/>
      <c r="F31" s="92" t="n"/>
      <c r="G31" s="93" t="n"/>
      <c r="H31" s="92" t="n"/>
      <c r="I31" s="93" t="n"/>
      <c r="J31" s="92" t="n"/>
      <c r="K31" s="98">
        <f>IF(COUNT(F31,H31,J31)=3,F31*H31*J31,"")</f>
        <v/>
      </c>
      <c r="L31" s="106">
        <f>IF(K31="","",IF(OR(F31&gt;=9,K31&gt;=100,AND(F31&gt;=7,J31&gt;=7)),"ACTION REQUIRED","Monitor"))</f>
        <v/>
      </c>
      <c r="M31" s="107" t="n"/>
      <c r="N31" s="108" t="n"/>
      <c r="O31" s="107" t="n"/>
      <c r="P31" s="107" t="n"/>
      <c r="Q31" s="107" t="n"/>
      <c r="R31" s="98">
        <f>IF(COUNT(O31,P31,Q31)=3,O31*P31*Q31,"")</f>
        <v/>
      </c>
      <c r="S31" s="109">
        <f>IF(AND(O31&lt;&gt;"",F31&lt;&gt;"",O31&lt;&gt;F31),"SEVERITY CHANGED","")</f>
        <v/>
      </c>
    </row>
    <row r="32" ht="15" customHeight="1" s="55">
      <c r="A32" s="92" t="n"/>
      <c r="B32" s="92" t="n"/>
      <c r="C32" s="93" t="n"/>
      <c r="D32" s="93" t="n"/>
      <c r="E32" s="93" t="n"/>
      <c r="F32" s="92" t="n"/>
      <c r="G32" s="93" t="n"/>
      <c r="H32" s="92" t="n"/>
      <c r="I32" s="93" t="n"/>
      <c r="J32" s="92" t="n"/>
      <c r="K32" s="98">
        <f>IF(COUNT(F32,H32,J32)=3,F32*H32*J32,"")</f>
        <v/>
      </c>
      <c r="L32" s="106">
        <f>IF(K32="","",IF(OR(F32&gt;=9,K32&gt;=100,AND(F32&gt;=7,J32&gt;=7)),"ACTION REQUIRED","Monitor"))</f>
        <v/>
      </c>
      <c r="M32" s="107" t="n"/>
      <c r="N32" s="108" t="n"/>
      <c r="O32" s="107" t="n"/>
      <c r="P32" s="107" t="n"/>
      <c r="Q32" s="107" t="n"/>
      <c r="R32" s="98">
        <f>IF(COUNT(O32,P32,Q32)=3,O32*P32*Q32,"")</f>
        <v/>
      </c>
      <c r="S32" s="109">
        <f>IF(AND(O32&lt;&gt;"",F32&lt;&gt;"",O32&lt;&gt;F32),"SEVERITY CHANGED","")</f>
        <v/>
      </c>
    </row>
    <row r="33" ht="15" customHeight="1" s="55">
      <c r="A33" s="92" t="n"/>
      <c r="B33" s="92" t="n"/>
      <c r="C33" s="93" t="n"/>
      <c r="D33" s="93" t="n"/>
      <c r="E33" s="93" t="n"/>
      <c r="F33" s="92" t="n"/>
      <c r="G33" s="93" t="n"/>
      <c r="H33" s="92" t="n"/>
      <c r="I33" s="93" t="n"/>
      <c r="J33" s="92" t="n"/>
      <c r="K33" s="98">
        <f>IF(COUNT(F33,H33,J33)=3,F33*H33*J33,"")</f>
        <v/>
      </c>
      <c r="L33" s="106">
        <f>IF(K33="","",IF(OR(F33&gt;=9,K33&gt;=100,AND(F33&gt;=7,J33&gt;=7)),"ACTION REQUIRED","Monitor"))</f>
        <v/>
      </c>
      <c r="M33" s="107" t="n"/>
      <c r="N33" s="108" t="n"/>
      <c r="O33" s="107" t="n"/>
      <c r="P33" s="107" t="n"/>
      <c r="Q33" s="107" t="n"/>
      <c r="R33" s="98">
        <f>IF(COUNT(O33,P33,Q33)=3,O33*P33*Q33,"")</f>
        <v/>
      </c>
      <c r="S33" s="109">
        <f>IF(AND(O33&lt;&gt;"",F33&lt;&gt;"",O33&lt;&gt;F33),"SEVERITY CHANGED","")</f>
        <v/>
      </c>
    </row>
    <row r="34" ht="15" customHeight="1" s="55">
      <c r="A34" s="92" t="n"/>
      <c r="B34" s="92" t="n"/>
      <c r="C34" s="93" t="n"/>
      <c r="D34" s="93" t="n"/>
      <c r="E34" s="93" t="n"/>
      <c r="F34" s="92" t="n"/>
      <c r="G34" s="93" t="n"/>
      <c r="H34" s="92" t="n"/>
      <c r="I34" s="93" t="n"/>
      <c r="J34" s="92" t="n"/>
      <c r="K34" s="98">
        <f>IF(COUNT(F34,H34,J34)=3,F34*H34*J34,"")</f>
        <v/>
      </c>
      <c r="L34" s="106">
        <f>IF(K34="","",IF(OR(F34&gt;=9,K34&gt;=100,AND(F34&gt;=7,J34&gt;=7)),"ACTION REQUIRED","Monitor"))</f>
        <v/>
      </c>
      <c r="M34" s="107" t="n"/>
      <c r="N34" s="108" t="n"/>
      <c r="O34" s="107" t="n"/>
      <c r="P34" s="107" t="n"/>
      <c r="Q34" s="107" t="n"/>
      <c r="R34" s="98">
        <f>IF(COUNT(O34,P34,Q34)=3,O34*P34*Q34,"")</f>
        <v/>
      </c>
      <c r="S34" s="109">
        <f>IF(AND(O34&lt;&gt;"",F34&lt;&gt;"",O34&lt;&gt;F34),"SEVERITY CHANGED","")</f>
        <v/>
      </c>
    </row>
    <row r="35" ht="15" customHeight="1" s="55">
      <c r="A35" s="92" t="n"/>
      <c r="B35" s="92" t="n"/>
      <c r="C35" s="93" t="n"/>
      <c r="D35" s="93" t="n"/>
      <c r="E35" s="93" t="n"/>
      <c r="F35" s="92" t="n"/>
      <c r="G35" s="93" t="n"/>
      <c r="H35" s="92" t="n"/>
      <c r="I35" s="93" t="n"/>
      <c r="J35" s="92" t="n"/>
      <c r="K35" s="98">
        <f>IF(COUNT(F35,H35,J35)=3,F35*H35*J35,"")</f>
        <v/>
      </c>
      <c r="L35" s="106">
        <f>IF(K35="","",IF(OR(F35&gt;=9,K35&gt;=100,AND(F35&gt;=7,J35&gt;=7)),"ACTION REQUIRED","Monitor"))</f>
        <v/>
      </c>
      <c r="M35" s="107" t="n"/>
      <c r="N35" s="108" t="n"/>
      <c r="O35" s="107" t="n"/>
      <c r="P35" s="107" t="n"/>
      <c r="Q35" s="107" t="n"/>
      <c r="R35" s="98">
        <f>IF(COUNT(O35,P35,Q35)=3,O35*P35*Q35,"")</f>
        <v/>
      </c>
      <c r="S35" s="109">
        <f>IF(AND(O35&lt;&gt;"",F35&lt;&gt;"",O35&lt;&gt;F35),"SEVERITY CHANGED","")</f>
        <v/>
      </c>
    </row>
    <row r="36" ht="15" customHeight="1" s="55">
      <c r="A36" s="92" t="n"/>
      <c r="B36" s="92" t="n"/>
      <c r="C36" s="93" t="n"/>
      <c r="D36" s="93" t="n"/>
      <c r="E36" s="93" t="n"/>
      <c r="F36" s="92" t="n"/>
      <c r="G36" s="93" t="n"/>
      <c r="H36" s="92" t="n"/>
      <c r="I36" s="93" t="n"/>
      <c r="J36" s="92" t="n"/>
      <c r="K36" s="98">
        <f>IF(COUNT(F36,H36,J36)=3,F36*H36*J36,"")</f>
        <v/>
      </c>
      <c r="L36" s="106">
        <f>IF(K36="","",IF(OR(F36&gt;=9,K36&gt;=100,AND(F36&gt;=7,J36&gt;=7)),"ACTION REQUIRED","Monitor"))</f>
        <v/>
      </c>
      <c r="M36" s="107" t="n"/>
      <c r="N36" s="108" t="n"/>
      <c r="O36" s="107" t="n"/>
      <c r="P36" s="107" t="n"/>
      <c r="Q36" s="107" t="n"/>
      <c r="R36" s="98">
        <f>IF(COUNT(O36,P36,Q36)=3,O36*P36*Q36,"")</f>
        <v/>
      </c>
      <c r="S36" s="109">
        <f>IF(AND(O36&lt;&gt;"",F36&lt;&gt;"",O36&lt;&gt;F36),"SEVERITY CHANGED","")</f>
        <v/>
      </c>
    </row>
    <row r="37" ht="15" customHeight="1" s="55">
      <c r="A37" s="92" t="n"/>
      <c r="B37" s="92" t="n"/>
      <c r="C37" s="93" t="n"/>
      <c r="D37" s="93" t="n"/>
      <c r="E37" s="93" t="n"/>
      <c r="F37" s="92" t="n"/>
      <c r="G37" s="93" t="n"/>
      <c r="H37" s="92" t="n"/>
      <c r="I37" s="93" t="n"/>
      <c r="J37" s="92" t="n"/>
      <c r="K37" s="98">
        <f>IF(COUNT(F37,H37,J37)=3,F37*H37*J37,"")</f>
        <v/>
      </c>
      <c r="L37" s="106">
        <f>IF(K37="","",IF(OR(F37&gt;=9,K37&gt;=100,AND(F37&gt;=7,J37&gt;=7)),"ACTION REQUIRED","Monitor"))</f>
        <v/>
      </c>
      <c r="M37" s="107" t="n"/>
      <c r="N37" s="108" t="n"/>
      <c r="O37" s="107" t="n"/>
      <c r="P37" s="107" t="n"/>
      <c r="Q37" s="107" t="n"/>
      <c r="R37" s="98">
        <f>IF(COUNT(O37,P37,Q37)=3,O37*P37*Q37,"")</f>
        <v/>
      </c>
      <c r="S37" s="109">
        <f>IF(AND(O37&lt;&gt;"",F37&lt;&gt;"",O37&lt;&gt;F37),"SEVERITY CHANGED","")</f>
        <v/>
      </c>
    </row>
    <row r="38" ht="15" customHeight="1" s="55">
      <c r="A38" s="92" t="n"/>
      <c r="B38" s="92" t="n"/>
      <c r="C38" s="93" t="n"/>
      <c r="D38" s="93" t="n"/>
      <c r="E38" s="93" t="n"/>
      <c r="F38" s="92" t="n"/>
      <c r="G38" s="93" t="n"/>
      <c r="H38" s="92" t="n"/>
      <c r="I38" s="93" t="n"/>
      <c r="J38" s="92" t="n"/>
      <c r="K38" s="98">
        <f>IF(COUNT(F38,H38,J38)=3,F38*H38*J38,"")</f>
        <v/>
      </c>
      <c r="L38" s="106">
        <f>IF(K38="","",IF(OR(F38&gt;=9,K38&gt;=100,AND(F38&gt;=7,J38&gt;=7)),"ACTION REQUIRED","Monitor"))</f>
        <v/>
      </c>
      <c r="M38" s="107" t="n"/>
      <c r="N38" s="108" t="n"/>
      <c r="O38" s="107" t="n"/>
      <c r="P38" s="107" t="n"/>
      <c r="Q38" s="107" t="n"/>
      <c r="R38" s="98">
        <f>IF(COUNT(O38,P38,Q38)=3,O38*P38*Q38,"")</f>
        <v/>
      </c>
      <c r="S38" s="109">
        <f>IF(AND(O38&lt;&gt;"",F38&lt;&gt;"",O38&lt;&gt;F38),"SEVERITY CHANGED","")</f>
        <v/>
      </c>
    </row>
    <row r="39" ht="15" customHeight="1" s="55">
      <c r="A39" s="92" t="n"/>
      <c r="B39" s="92" t="n"/>
      <c r="C39" s="93" t="n"/>
      <c r="D39" s="93" t="n"/>
      <c r="E39" s="93" t="n"/>
      <c r="F39" s="92" t="n"/>
      <c r="G39" s="93" t="n"/>
      <c r="H39" s="92" t="n"/>
      <c r="I39" s="93" t="n"/>
      <c r="J39" s="92" t="n"/>
      <c r="K39" s="98">
        <f>IF(COUNT(F39,H39,J39)=3,F39*H39*J39,"")</f>
        <v/>
      </c>
      <c r="L39" s="106">
        <f>IF(K39="","",IF(OR(F39&gt;=9,K39&gt;=100,AND(F39&gt;=7,J39&gt;=7)),"ACTION REQUIRED","Monitor"))</f>
        <v/>
      </c>
      <c r="M39" s="107" t="n"/>
      <c r="N39" s="108" t="n"/>
      <c r="O39" s="107" t="n"/>
      <c r="P39" s="107" t="n"/>
      <c r="Q39" s="107" t="n"/>
      <c r="R39" s="98">
        <f>IF(COUNT(O39,P39,Q39)=3,O39*P39*Q39,"")</f>
        <v/>
      </c>
      <c r="S39" s="109">
        <f>IF(AND(O39&lt;&gt;"",F39&lt;&gt;"",O39&lt;&gt;F39),"SEVERITY CHANGED","")</f>
        <v/>
      </c>
    </row>
    <row r="40" ht="15" customHeight="1" s="55">
      <c r="A40" s="92" t="n"/>
      <c r="B40" s="92" t="n"/>
      <c r="C40" s="93" t="n"/>
      <c r="D40" s="93" t="n"/>
      <c r="E40" s="93" t="n"/>
      <c r="F40" s="92" t="n"/>
      <c r="G40" s="93" t="n"/>
      <c r="H40" s="92" t="n"/>
      <c r="I40" s="93" t="n"/>
      <c r="J40" s="92" t="n"/>
      <c r="K40" s="98">
        <f>IF(COUNT(F40,H40,J40)=3,F40*H40*J40,"")</f>
        <v/>
      </c>
      <c r="L40" s="106">
        <f>IF(K40="","",IF(OR(F40&gt;=9,K40&gt;=100,AND(F40&gt;=7,J40&gt;=7)),"ACTION REQUIRED","Monitor"))</f>
        <v/>
      </c>
      <c r="M40" s="107" t="n"/>
      <c r="N40" s="108" t="n"/>
      <c r="O40" s="107" t="n"/>
      <c r="P40" s="107" t="n"/>
      <c r="Q40" s="107" t="n"/>
      <c r="R40" s="98">
        <f>IF(COUNT(O40,P40,Q40)=3,O40*P40*Q40,"")</f>
        <v/>
      </c>
      <c r="S40" s="109">
        <f>IF(AND(O40&lt;&gt;"",F40&lt;&gt;"",O40&lt;&gt;F40),"SEVERITY CHANGED","")</f>
        <v/>
      </c>
    </row>
    <row r="41" ht="15" customHeight="1" s="55">
      <c r="A41" s="92" t="n"/>
      <c r="B41" s="92" t="n"/>
      <c r="C41" s="93" t="n"/>
      <c r="D41" s="93" t="n"/>
      <c r="E41" s="93" t="n"/>
      <c r="F41" s="92" t="n"/>
      <c r="G41" s="93" t="n"/>
      <c r="H41" s="92" t="n"/>
      <c r="I41" s="93" t="n"/>
      <c r="J41" s="92" t="n"/>
      <c r="K41" s="98">
        <f>IF(COUNT(F41,H41,J41)=3,F41*H41*J41,"")</f>
        <v/>
      </c>
      <c r="L41" s="106">
        <f>IF(K41="","",IF(OR(F41&gt;=9,K41&gt;=100,AND(F41&gt;=7,J41&gt;=7)),"ACTION REQUIRED","Monitor"))</f>
        <v/>
      </c>
      <c r="M41" s="107" t="n"/>
      <c r="N41" s="108" t="n"/>
      <c r="O41" s="107" t="n"/>
      <c r="P41" s="107" t="n"/>
      <c r="Q41" s="107" t="n"/>
      <c r="R41" s="98">
        <f>IF(COUNT(O41,P41,Q41)=3,O41*P41*Q41,"")</f>
        <v/>
      </c>
      <c r="S41" s="109">
        <f>IF(AND(O41&lt;&gt;"",F41&lt;&gt;"",O41&lt;&gt;F41),"SEVERITY CHANGED","")</f>
        <v/>
      </c>
    </row>
    <row r="42" ht="15" customHeight="1" s="55">
      <c r="A42" s="92" t="n"/>
      <c r="B42" s="92" t="n"/>
      <c r="C42" s="93" t="n"/>
      <c r="D42" s="93" t="n"/>
      <c r="E42" s="93" t="n"/>
      <c r="F42" s="92" t="n"/>
      <c r="G42" s="93" t="n"/>
      <c r="H42" s="92" t="n"/>
      <c r="I42" s="93" t="n"/>
      <c r="J42" s="92" t="n"/>
      <c r="K42" s="98">
        <f>IF(COUNT(F42,H42,J42)=3,F42*H42*J42,"")</f>
        <v/>
      </c>
      <c r="L42" s="106">
        <f>IF(K42="","",IF(OR(F42&gt;=9,K42&gt;=100,AND(F42&gt;=7,J42&gt;=7)),"ACTION REQUIRED","Monitor"))</f>
        <v/>
      </c>
      <c r="M42" s="107" t="n"/>
      <c r="N42" s="108" t="n"/>
      <c r="O42" s="107" t="n"/>
      <c r="P42" s="107" t="n"/>
      <c r="Q42" s="107" t="n"/>
      <c r="R42" s="98">
        <f>IF(COUNT(O42,P42,Q42)=3,O42*P42*Q42,"")</f>
        <v/>
      </c>
      <c r="S42" s="109">
        <f>IF(AND(O42&lt;&gt;"",F42&lt;&gt;"",O42&lt;&gt;F42),"SEVERITY CHANGED","")</f>
        <v/>
      </c>
    </row>
    <row r="43" ht="15" customHeight="1" s="55">
      <c r="A43" s="92" t="n"/>
      <c r="B43" s="92" t="n"/>
      <c r="C43" s="93" t="n"/>
      <c r="D43" s="93" t="n"/>
      <c r="E43" s="93" t="n"/>
      <c r="F43" s="92" t="n"/>
      <c r="G43" s="93" t="n"/>
      <c r="H43" s="92" t="n"/>
      <c r="I43" s="93" t="n"/>
      <c r="J43" s="92" t="n"/>
      <c r="K43" s="98">
        <f>IF(COUNT(F43,H43,J43)=3,F43*H43*J43,"")</f>
        <v/>
      </c>
      <c r="L43" s="106">
        <f>IF(K43="","",IF(OR(F43&gt;=9,K43&gt;=100,AND(F43&gt;=7,J43&gt;=7)),"ACTION REQUIRED","Monitor"))</f>
        <v/>
      </c>
      <c r="M43" s="107" t="n"/>
      <c r="N43" s="108" t="n"/>
      <c r="O43" s="107" t="n"/>
      <c r="P43" s="107" t="n"/>
      <c r="Q43" s="107" t="n"/>
      <c r="R43" s="98">
        <f>IF(COUNT(O43,P43,Q43)=3,O43*P43*Q43,"")</f>
        <v/>
      </c>
      <c r="S43" s="109">
        <f>IF(AND(O43&lt;&gt;"",F43&lt;&gt;"",O43&lt;&gt;F43),"SEVERITY CHANGED","")</f>
        <v/>
      </c>
    </row>
    <row r="44" ht="15" customHeight="1" s="55">
      <c r="A44" s="92" t="n"/>
      <c r="B44" s="92" t="n"/>
      <c r="C44" s="93" t="n"/>
      <c r="D44" s="93" t="n"/>
      <c r="E44" s="93" t="n"/>
      <c r="F44" s="92" t="n"/>
      <c r="G44" s="93" t="n"/>
      <c r="H44" s="92" t="n"/>
      <c r="I44" s="93" t="n"/>
      <c r="J44" s="92" t="n"/>
      <c r="K44" s="98">
        <f>IF(COUNT(F44,H44,J44)=3,F44*H44*J44,"")</f>
        <v/>
      </c>
      <c r="L44" s="106">
        <f>IF(K44="","",IF(OR(F44&gt;=9,K44&gt;=100,AND(F44&gt;=7,J44&gt;=7)),"ACTION REQUIRED","Monitor"))</f>
        <v/>
      </c>
      <c r="M44" s="107" t="n"/>
      <c r="N44" s="108" t="n"/>
      <c r="O44" s="107" t="n"/>
      <c r="P44" s="107" t="n"/>
      <c r="Q44" s="107" t="n"/>
      <c r="R44" s="98">
        <f>IF(COUNT(O44,P44,Q44)=3,O44*P44*Q44,"")</f>
        <v/>
      </c>
      <c r="S44" s="109">
        <f>IF(AND(O44&lt;&gt;"",F44&lt;&gt;"",O44&lt;&gt;F44),"SEVERITY CHANGED","")</f>
        <v/>
      </c>
    </row>
    <row r="45" ht="15" customHeight="1" s="55">
      <c r="A45" s="92" t="n"/>
      <c r="B45" s="92" t="n"/>
      <c r="C45" s="93" t="n"/>
      <c r="D45" s="93" t="n"/>
      <c r="E45" s="93" t="n"/>
      <c r="F45" s="92" t="n"/>
      <c r="G45" s="93" t="n"/>
      <c r="H45" s="92" t="n"/>
      <c r="I45" s="93" t="n"/>
      <c r="J45" s="92" t="n"/>
      <c r="K45" s="98">
        <f>IF(COUNT(F45,H45,J45)=3,F45*H45*J45,"")</f>
        <v/>
      </c>
      <c r="L45" s="106">
        <f>IF(K45="","",IF(OR(F45&gt;=9,K45&gt;=100,AND(F45&gt;=7,J45&gt;=7)),"ACTION REQUIRED","Monitor"))</f>
        <v/>
      </c>
      <c r="M45" s="107" t="n"/>
      <c r="N45" s="108" t="n"/>
      <c r="O45" s="107" t="n"/>
      <c r="P45" s="107" t="n"/>
      <c r="Q45" s="107" t="n"/>
      <c r="R45" s="98">
        <f>IF(COUNT(O45,P45,Q45)=3,O45*P45*Q45,"")</f>
        <v/>
      </c>
      <c r="S45" s="109">
        <f>IF(AND(O45&lt;&gt;"",F45&lt;&gt;"",O45&lt;&gt;F45),"SEVERITY CHANGED","")</f>
        <v/>
      </c>
    </row>
    <row r="46" ht="15" customHeight="1" s="55">
      <c r="A46" s="92" t="n"/>
      <c r="B46" s="92" t="n"/>
      <c r="C46" s="93" t="n"/>
      <c r="D46" s="93" t="n"/>
      <c r="E46" s="93" t="n"/>
      <c r="F46" s="92" t="n"/>
      <c r="G46" s="93" t="n"/>
      <c r="H46" s="92" t="n"/>
      <c r="I46" s="93" t="n"/>
      <c r="J46" s="92" t="n"/>
      <c r="K46" s="98">
        <f>IF(COUNT(F46,H46,J46)=3,F46*H46*J46,"")</f>
        <v/>
      </c>
      <c r="L46" s="106">
        <f>IF(K46="","",IF(OR(F46&gt;=9,K46&gt;=100,AND(F46&gt;=7,J46&gt;=7)),"ACTION REQUIRED","Monitor"))</f>
        <v/>
      </c>
      <c r="M46" s="107" t="n"/>
      <c r="N46" s="108" t="n"/>
      <c r="O46" s="107" t="n"/>
      <c r="P46" s="107" t="n"/>
      <c r="Q46" s="107" t="n"/>
      <c r="R46" s="98">
        <f>IF(COUNT(O46,P46,Q46)=3,O46*P46*Q46,"")</f>
        <v/>
      </c>
      <c r="S46" s="109">
        <f>IF(AND(O46&lt;&gt;"",F46&lt;&gt;"",O46&lt;&gt;F46),"SEVERITY CHANGED","")</f>
        <v/>
      </c>
    </row>
    <row r="47" ht="15" customHeight="1" s="55">
      <c r="A47" s="92" t="n"/>
      <c r="B47" s="92" t="n"/>
      <c r="C47" s="93" t="n"/>
      <c r="D47" s="93" t="n"/>
      <c r="E47" s="93" t="n"/>
      <c r="F47" s="92" t="n"/>
      <c r="G47" s="93" t="n"/>
      <c r="H47" s="92" t="n"/>
      <c r="I47" s="93" t="n"/>
      <c r="J47" s="92" t="n"/>
      <c r="K47" s="98">
        <f>IF(COUNT(F47,H47,J47)=3,F47*H47*J47,"")</f>
        <v/>
      </c>
      <c r="L47" s="106">
        <f>IF(K47="","",IF(OR(F47&gt;=9,K47&gt;=100,AND(F47&gt;=7,J47&gt;=7)),"ACTION REQUIRED","Monitor"))</f>
        <v/>
      </c>
      <c r="M47" s="107" t="n"/>
      <c r="N47" s="108" t="n"/>
      <c r="O47" s="107" t="n"/>
      <c r="P47" s="107" t="n"/>
      <c r="Q47" s="107" t="n"/>
      <c r="R47" s="98">
        <f>IF(COUNT(O47,P47,Q47)=3,O47*P47*Q47,"")</f>
        <v/>
      </c>
      <c r="S47" s="109">
        <f>IF(AND(O47&lt;&gt;"",F47&lt;&gt;"",O47&lt;&gt;F47),"SEVERITY CHANGED","")</f>
        <v/>
      </c>
    </row>
    <row r="48" ht="15" customHeight="1" s="55">
      <c r="A48" s="92" t="n"/>
      <c r="B48" s="92" t="n"/>
      <c r="C48" s="93" t="n"/>
      <c r="D48" s="93" t="n"/>
      <c r="E48" s="93" t="n"/>
      <c r="F48" s="92" t="n"/>
      <c r="G48" s="93" t="n"/>
      <c r="H48" s="92" t="n"/>
      <c r="I48" s="93" t="n"/>
      <c r="J48" s="92" t="n"/>
      <c r="K48" s="98">
        <f>IF(COUNT(F48,H48,J48)=3,F48*H48*J48,"")</f>
        <v/>
      </c>
      <c r="L48" s="106">
        <f>IF(K48="","",IF(OR(F48&gt;=9,K48&gt;=100,AND(F48&gt;=7,J48&gt;=7)),"ACTION REQUIRED","Monitor"))</f>
        <v/>
      </c>
      <c r="M48" s="107" t="n"/>
      <c r="N48" s="108" t="n"/>
      <c r="O48" s="107" t="n"/>
      <c r="P48" s="107" t="n"/>
      <c r="Q48" s="107" t="n"/>
      <c r="R48" s="98">
        <f>IF(COUNT(O48,P48,Q48)=3,O48*P48*Q48,"")</f>
        <v/>
      </c>
      <c r="S48" s="109">
        <f>IF(AND(O48&lt;&gt;"",F48&lt;&gt;"",O48&lt;&gt;F48),"SEVERITY CHANGED","")</f>
        <v/>
      </c>
    </row>
    <row r="49" ht="15" customHeight="1" s="55">
      <c r="A49" s="92" t="n"/>
      <c r="B49" s="92" t="n"/>
      <c r="C49" s="93" t="n"/>
      <c r="D49" s="93" t="n"/>
      <c r="E49" s="93" t="n"/>
      <c r="F49" s="92" t="n"/>
      <c r="G49" s="93" t="n"/>
      <c r="H49" s="92" t="n"/>
      <c r="I49" s="93" t="n"/>
      <c r="J49" s="92" t="n"/>
      <c r="K49" s="98">
        <f>IF(COUNT(F49,H49,J49)=3,F49*H49*J49,"")</f>
        <v/>
      </c>
      <c r="L49" s="106">
        <f>IF(K49="","",IF(OR(F49&gt;=9,K49&gt;=100,AND(F49&gt;=7,J49&gt;=7)),"ACTION REQUIRED","Monitor"))</f>
        <v/>
      </c>
      <c r="M49" s="107" t="n"/>
      <c r="N49" s="108" t="n"/>
      <c r="O49" s="107" t="n"/>
      <c r="P49" s="107" t="n"/>
      <c r="Q49" s="107" t="n"/>
      <c r="R49" s="98">
        <f>IF(COUNT(O49,P49,Q49)=3,O49*P49*Q49,"")</f>
        <v/>
      </c>
      <c r="S49" s="109">
        <f>IF(AND(O49&lt;&gt;"",F49&lt;&gt;"",O49&lt;&gt;F49),"SEVERITY CHANGED","")</f>
        <v/>
      </c>
    </row>
    <row r="50" ht="15" customHeight="1" s="55">
      <c r="A50" s="92" t="n"/>
      <c r="B50" s="92" t="n"/>
      <c r="C50" s="93" t="n"/>
      <c r="D50" s="93" t="n"/>
      <c r="E50" s="93" t="n"/>
      <c r="F50" s="92" t="n"/>
      <c r="G50" s="93" t="n"/>
      <c r="H50" s="92" t="n"/>
      <c r="I50" s="93" t="n"/>
      <c r="J50" s="92" t="n"/>
      <c r="K50" s="98">
        <f>IF(COUNT(F50,H50,J50)=3,F50*H50*J50,"")</f>
        <v/>
      </c>
      <c r="L50" s="106">
        <f>IF(K50="","",IF(OR(F50&gt;=9,K50&gt;=100,AND(F50&gt;=7,J50&gt;=7)),"ACTION REQUIRED","Monitor"))</f>
        <v/>
      </c>
      <c r="M50" s="107" t="n"/>
      <c r="N50" s="108" t="n"/>
      <c r="O50" s="107" t="n"/>
      <c r="P50" s="107" t="n"/>
      <c r="Q50" s="107" t="n"/>
      <c r="R50" s="98">
        <f>IF(COUNT(O50,P50,Q50)=3,O50*P50*Q50,"")</f>
        <v/>
      </c>
      <c r="S50" s="109">
        <f>IF(AND(O50&lt;&gt;"",F50&lt;&gt;"",O50&lt;&gt;F50),"SEVERITY CHANGED","")</f>
        <v/>
      </c>
    </row>
    <row r="51" ht="15" customHeight="1" s="55">
      <c r="A51" s="92" t="n"/>
      <c r="B51" s="92" t="n"/>
      <c r="C51" s="93" t="n"/>
      <c r="D51" s="93" t="n"/>
      <c r="E51" s="93" t="n"/>
      <c r="F51" s="92" t="n"/>
      <c r="G51" s="93" t="n"/>
      <c r="H51" s="92" t="n"/>
      <c r="I51" s="93" t="n"/>
      <c r="J51" s="92" t="n"/>
      <c r="K51" s="98">
        <f>IF(COUNT(F51,H51,J51)=3,F51*H51*J51,"")</f>
        <v/>
      </c>
      <c r="L51" s="106">
        <f>IF(K51="","",IF(OR(F51&gt;=9,K51&gt;=100,AND(F51&gt;=7,J51&gt;=7)),"ACTION REQUIRED","Monitor"))</f>
        <v/>
      </c>
      <c r="M51" s="107" t="n"/>
      <c r="N51" s="108" t="n"/>
      <c r="O51" s="107" t="n"/>
      <c r="P51" s="107" t="n"/>
      <c r="Q51" s="107" t="n"/>
      <c r="R51" s="98">
        <f>IF(COUNT(O51,P51,Q51)=3,O51*P51*Q51,"")</f>
        <v/>
      </c>
      <c r="S51" s="109">
        <f>IF(AND(O51&lt;&gt;"",F51&lt;&gt;"",O51&lt;&gt;F51),"SEVERITY CHANGED","")</f>
        <v/>
      </c>
    </row>
    <row r="52" ht="15" customHeight="1" s="55">
      <c r="A52" s="92" t="n"/>
      <c r="B52" s="92" t="n"/>
      <c r="C52" s="93" t="n"/>
      <c r="D52" s="93" t="n"/>
      <c r="E52" s="93" t="n"/>
      <c r="F52" s="92" t="n"/>
      <c r="G52" s="93" t="n"/>
      <c r="H52" s="92" t="n"/>
      <c r="I52" s="93" t="n"/>
      <c r="J52" s="92" t="n"/>
      <c r="K52" s="98">
        <f>IF(COUNT(F52,H52,J52)=3,F52*H52*J52,"")</f>
        <v/>
      </c>
      <c r="L52" s="106">
        <f>IF(K52="","",IF(OR(F52&gt;=9,K52&gt;=100,AND(F52&gt;=7,J52&gt;=7)),"ACTION REQUIRED","Monitor"))</f>
        <v/>
      </c>
      <c r="M52" s="107" t="n"/>
      <c r="N52" s="108" t="n"/>
      <c r="O52" s="107" t="n"/>
      <c r="P52" s="107" t="n"/>
      <c r="Q52" s="107" t="n"/>
      <c r="R52" s="98">
        <f>IF(COUNT(O52,P52,Q52)=3,O52*P52*Q52,"")</f>
        <v/>
      </c>
      <c r="S52" s="109">
        <f>IF(AND(O52&lt;&gt;"",F52&lt;&gt;"",O52&lt;&gt;F52),"SEVERITY CHANGED","")</f>
        <v/>
      </c>
    </row>
    <row r="53" ht="15" customHeight="1" s="55">
      <c r="A53" s="92" t="n"/>
      <c r="B53" s="92" t="n"/>
      <c r="C53" s="93" t="n"/>
      <c r="D53" s="93" t="n"/>
      <c r="E53" s="93" t="n"/>
      <c r="F53" s="92" t="n"/>
      <c r="G53" s="93" t="n"/>
      <c r="H53" s="92" t="n"/>
      <c r="I53" s="93" t="n"/>
      <c r="J53" s="92" t="n"/>
      <c r="K53" s="98">
        <f>IF(COUNT(F53,H53,J53)=3,F53*H53*J53,"")</f>
        <v/>
      </c>
      <c r="L53" s="106">
        <f>IF(K53="","",IF(OR(F53&gt;=9,K53&gt;=100,AND(F53&gt;=7,J53&gt;=7)),"ACTION REQUIRED","Monitor"))</f>
        <v/>
      </c>
      <c r="M53" s="107" t="n"/>
      <c r="N53" s="108" t="n"/>
      <c r="O53" s="107" t="n"/>
      <c r="P53" s="107" t="n"/>
      <c r="Q53" s="107" t="n"/>
      <c r="R53" s="98">
        <f>IF(COUNT(O53,P53,Q53)=3,O53*P53*Q53,"")</f>
        <v/>
      </c>
      <c r="S53" s="109">
        <f>IF(AND(O53&lt;&gt;"",F53&lt;&gt;"",O53&lt;&gt;F53),"SEVERITY CHANGED","")</f>
        <v/>
      </c>
    </row>
    <row r="54" ht="15" customHeight="1" s="55">
      <c r="A54" s="92" t="n"/>
      <c r="B54" s="92" t="n"/>
      <c r="C54" s="93" t="n"/>
      <c r="D54" s="93" t="n"/>
      <c r="E54" s="93" t="n"/>
      <c r="F54" s="92" t="n"/>
      <c r="G54" s="93" t="n"/>
      <c r="H54" s="92" t="n"/>
      <c r="I54" s="93" t="n"/>
      <c r="J54" s="92" t="n"/>
      <c r="K54" s="98">
        <f>IF(COUNT(F54,H54,J54)=3,F54*H54*J54,"")</f>
        <v/>
      </c>
      <c r="L54" s="106">
        <f>IF(K54="","",IF(OR(F54&gt;=9,K54&gt;=100,AND(F54&gt;=7,J54&gt;=7)),"ACTION REQUIRED","Monitor"))</f>
        <v/>
      </c>
      <c r="M54" s="107" t="n"/>
      <c r="N54" s="108" t="n"/>
      <c r="O54" s="107" t="n"/>
      <c r="P54" s="107" t="n"/>
      <c r="Q54" s="107" t="n"/>
      <c r="R54" s="98">
        <f>IF(COUNT(O54,P54,Q54)=3,O54*P54*Q54,"")</f>
        <v/>
      </c>
      <c r="S54" s="109">
        <f>IF(AND(O54&lt;&gt;"",F54&lt;&gt;"",O54&lt;&gt;F54),"SEVERITY CHANGED","")</f>
        <v/>
      </c>
    </row>
    <row r="55" ht="15" customHeight="1" s="55">
      <c r="A55" s="92" t="n"/>
      <c r="B55" s="92" t="n"/>
      <c r="C55" s="93" t="n"/>
      <c r="D55" s="93" t="n"/>
      <c r="E55" s="93" t="n"/>
      <c r="F55" s="92" t="n"/>
      <c r="G55" s="93" t="n"/>
      <c r="H55" s="92" t="n"/>
      <c r="I55" s="93" t="n"/>
      <c r="J55" s="92" t="n"/>
      <c r="K55" s="98">
        <f>IF(COUNT(F55,H55,J55)=3,F55*H55*J55,"")</f>
        <v/>
      </c>
      <c r="L55" s="106">
        <f>IF(K55="","",IF(OR(F55&gt;=9,K55&gt;=100,AND(F55&gt;=7,J55&gt;=7)),"ACTION REQUIRED","Monitor"))</f>
        <v/>
      </c>
      <c r="M55" s="107" t="n"/>
      <c r="N55" s="108" t="n"/>
      <c r="O55" s="107" t="n"/>
      <c r="P55" s="107" t="n"/>
      <c r="Q55" s="107" t="n"/>
      <c r="R55" s="98">
        <f>IF(COUNT(O55,P55,Q55)=3,O55*P55*Q55,"")</f>
        <v/>
      </c>
      <c r="S55" s="109">
        <f>IF(AND(O55&lt;&gt;"",F55&lt;&gt;"",O55&lt;&gt;F55),"SEVERITY CHANGED","")</f>
        <v/>
      </c>
    </row>
    <row r="56" ht="15" customHeight="1" s="55">
      <c r="A56" s="92" t="n"/>
      <c r="B56" s="92" t="n"/>
      <c r="C56" s="93" t="n"/>
      <c r="D56" s="93" t="n"/>
      <c r="E56" s="93" t="n"/>
      <c r="F56" s="92" t="n"/>
      <c r="G56" s="93" t="n"/>
      <c r="H56" s="92" t="n"/>
      <c r="I56" s="93" t="n"/>
      <c r="J56" s="92" t="n"/>
      <c r="K56" s="98">
        <f>IF(COUNT(F56,H56,J56)=3,F56*H56*J56,"")</f>
        <v/>
      </c>
      <c r="L56" s="106">
        <f>IF(K56="","",IF(OR(F56&gt;=9,K56&gt;=100,AND(F56&gt;=7,J56&gt;=7)),"ACTION REQUIRED","Monitor"))</f>
        <v/>
      </c>
      <c r="M56" s="107" t="n"/>
      <c r="N56" s="108" t="n"/>
      <c r="O56" s="107" t="n"/>
      <c r="P56" s="107" t="n"/>
      <c r="Q56" s="107" t="n"/>
      <c r="R56" s="98">
        <f>IF(COUNT(O56,P56,Q56)=3,O56*P56*Q56,"")</f>
        <v/>
      </c>
      <c r="S56" s="109">
        <f>IF(AND(O56&lt;&gt;"",F56&lt;&gt;"",O56&lt;&gt;F56),"SEVERITY CHANGED","")</f>
        <v/>
      </c>
    </row>
    <row r="57" ht="15" customHeight="1" s="55">
      <c r="A57" s="92" t="n"/>
      <c r="B57" s="92" t="n"/>
      <c r="C57" s="93" t="n"/>
      <c r="D57" s="93" t="n"/>
      <c r="E57" s="93" t="n"/>
      <c r="F57" s="92" t="n"/>
      <c r="G57" s="93" t="n"/>
      <c r="H57" s="92" t="n"/>
      <c r="I57" s="93" t="n"/>
      <c r="J57" s="92" t="n"/>
      <c r="K57" s="98">
        <f>IF(COUNT(F57,H57,J57)=3,F57*H57*J57,"")</f>
        <v/>
      </c>
      <c r="L57" s="106">
        <f>IF(K57="","",IF(OR(F57&gt;=9,K57&gt;=100,AND(F57&gt;=7,J57&gt;=7)),"ACTION REQUIRED","Monitor"))</f>
        <v/>
      </c>
      <c r="M57" s="107" t="n"/>
      <c r="N57" s="108" t="n"/>
      <c r="O57" s="107" t="n"/>
      <c r="P57" s="107" t="n"/>
      <c r="Q57" s="107" t="n"/>
      <c r="R57" s="98">
        <f>IF(COUNT(O57,P57,Q57)=3,O57*P57*Q57,"")</f>
        <v/>
      </c>
      <c r="S57" s="109">
        <f>IF(AND(O57&lt;&gt;"",F57&lt;&gt;"",O57&lt;&gt;F57),"SEVERITY CHANGED","")</f>
        <v/>
      </c>
    </row>
    <row r="58" ht="15" customHeight="1" s="55">
      <c r="A58" s="92" t="n"/>
      <c r="B58" s="92" t="n"/>
      <c r="C58" s="93" t="n"/>
      <c r="D58" s="93" t="n"/>
      <c r="E58" s="93" t="n"/>
      <c r="F58" s="92" t="n"/>
      <c r="G58" s="93" t="n"/>
      <c r="H58" s="92" t="n"/>
      <c r="I58" s="93" t="n"/>
      <c r="J58" s="92" t="n"/>
      <c r="K58" s="98">
        <f>IF(COUNT(F58,H58,J58)=3,F58*H58*J58,"")</f>
        <v/>
      </c>
      <c r="L58" s="106">
        <f>IF(K58="","",IF(OR(F58&gt;=9,K58&gt;=100,AND(F58&gt;=7,J58&gt;=7)),"ACTION REQUIRED","Monitor"))</f>
        <v/>
      </c>
      <c r="M58" s="107" t="n"/>
      <c r="N58" s="108" t="n"/>
      <c r="O58" s="107" t="n"/>
      <c r="P58" s="107" t="n"/>
      <c r="Q58" s="107" t="n"/>
      <c r="R58" s="98">
        <f>IF(COUNT(O58,P58,Q58)=3,O58*P58*Q58,"")</f>
        <v/>
      </c>
      <c r="S58" s="109">
        <f>IF(AND(O58&lt;&gt;"",F58&lt;&gt;"",O58&lt;&gt;F58),"SEVERITY CHANGED","")</f>
        <v/>
      </c>
    </row>
    <row r="59" ht="15" customHeight="1" s="55">
      <c r="A59" s="92" t="n"/>
      <c r="B59" s="92" t="n"/>
      <c r="C59" s="93" t="n"/>
      <c r="D59" s="93" t="n"/>
      <c r="E59" s="93" t="n"/>
      <c r="F59" s="92" t="n"/>
      <c r="G59" s="93" t="n"/>
      <c r="H59" s="92" t="n"/>
      <c r="I59" s="93" t="n"/>
      <c r="J59" s="92" t="n"/>
      <c r="K59" s="98">
        <f>IF(COUNT(F59,H59,J59)=3,F59*H59*J59,"")</f>
        <v/>
      </c>
      <c r="L59" s="106">
        <f>IF(K59="","",IF(OR(F59&gt;=9,K59&gt;=100,AND(F59&gt;=7,J59&gt;=7)),"ACTION REQUIRED","Monitor"))</f>
        <v/>
      </c>
      <c r="M59" s="107" t="n"/>
      <c r="N59" s="108" t="n"/>
      <c r="O59" s="107" t="n"/>
      <c r="P59" s="107" t="n"/>
      <c r="Q59" s="107" t="n"/>
      <c r="R59" s="98">
        <f>IF(COUNT(O59,P59,Q59)=3,O59*P59*Q59,"")</f>
        <v/>
      </c>
      <c r="S59" s="109">
        <f>IF(AND(O59&lt;&gt;"",F59&lt;&gt;"",O59&lt;&gt;F59),"SEVERITY CHANGED","")</f>
        <v/>
      </c>
    </row>
    <row r="60" ht="15" customHeight="1" s="55">
      <c r="A60" s="92" t="n"/>
      <c r="B60" s="92" t="n"/>
      <c r="C60" s="93" t="n"/>
      <c r="D60" s="93" t="n"/>
      <c r="E60" s="93" t="n"/>
      <c r="F60" s="92" t="n"/>
      <c r="G60" s="93" t="n"/>
      <c r="H60" s="92" t="n"/>
      <c r="I60" s="93" t="n"/>
      <c r="J60" s="92" t="n"/>
      <c r="K60" s="98">
        <f>IF(COUNT(F60,H60,J60)=3,F60*H60*J60,"")</f>
        <v/>
      </c>
      <c r="L60" s="106">
        <f>IF(K60="","",IF(OR(F60&gt;=9,K60&gt;=100,AND(F60&gt;=7,J60&gt;=7)),"ACTION REQUIRED","Monitor"))</f>
        <v/>
      </c>
      <c r="M60" s="107" t="n"/>
      <c r="N60" s="108" t="n"/>
      <c r="O60" s="107" t="n"/>
      <c r="P60" s="107" t="n"/>
      <c r="Q60" s="107" t="n"/>
      <c r="R60" s="98">
        <f>IF(COUNT(O60,P60,Q60)=3,O60*P60*Q60,"")</f>
        <v/>
      </c>
      <c r="S60" s="109">
        <f>IF(AND(O60&lt;&gt;"",F60&lt;&gt;"",O60&lt;&gt;F60),"SEVERITY CHANGED","")</f>
        <v/>
      </c>
    </row>
    <row r="61" ht="15" customHeight="1" s="55">
      <c r="A61" s="92" t="n"/>
      <c r="B61" s="92" t="n"/>
      <c r="C61" s="93" t="n"/>
      <c r="D61" s="93" t="n"/>
      <c r="E61" s="93" t="n"/>
      <c r="F61" s="92" t="n"/>
      <c r="G61" s="93" t="n"/>
      <c r="H61" s="92" t="n"/>
      <c r="I61" s="93" t="n"/>
      <c r="J61" s="92" t="n"/>
      <c r="K61" s="98">
        <f>IF(COUNT(F61,H61,J61)=3,F61*H61*J61,"")</f>
        <v/>
      </c>
      <c r="L61" s="106">
        <f>IF(K61="","",IF(OR(F61&gt;=9,K61&gt;=100,AND(F61&gt;=7,J61&gt;=7)),"ACTION REQUIRED","Monitor"))</f>
        <v/>
      </c>
      <c r="M61" s="107" t="n"/>
      <c r="N61" s="108" t="n"/>
      <c r="O61" s="107" t="n"/>
      <c r="P61" s="107" t="n"/>
      <c r="Q61" s="107" t="n"/>
      <c r="R61" s="98">
        <f>IF(COUNT(O61,P61,Q61)=3,O61*P61*Q61,"")</f>
        <v/>
      </c>
      <c r="S61" s="109">
        <f>IF(AND(O61&lt;&gt;"",F61&lt;&gt;"",O61&lt;&gt;F61),"SEVERITY CHANGED","")</f>
        <v/>
      </c>
    </row>
    <row r="62" ht="15" customHeight="1" s="55">
      <c r="A62" s="92" t="n"/>
      <c r="B62" s="92" t="n"/>
      <c r="C62" s="93" t="n"/>
      <c r="D62" s="93" t="n"/>
      <c r="E62" s="93" t="n"/>
      <c r="F62" s="92" t="n"/>
      <c r="G62" s="93" t="n"/>
      <c r="H62" s="92" t="n"/>
      <c r="I62" s="93" t="n"/>
      <c r="J62" s="92" t="n"/>
      <c r="K62" s="98">
        <f>IF(COUNT(F62,H62,J62)=3,F62*H62*J62,"")</f>
        <v/>
      </c>
      <c r="L62" s="106">
        <f>IF(K62="","",IF(OR(F62&gt;=9,K62&gt;=100,AND(F62&gt;=7,J62&gt;=7)),"ACTION REQUIRED","Monitor"))</f>
        <v/>
      </c>
      <c r="M62" s="107" t="n"/>
      <c r="N62" s="108" t="n"/>
      <c r="O62" s="107" t="n"/>
      <c r="P62" s="107" t="n"/>
      <c r="Q62" s="107" t="n"/>
      <c r="R62" s="98">
        <f>IF(COUNT(O62,P62,Q62)=3,O62*P62*Q62,"")</f>
        <v/>
      </c>
      <c r="S62" s="109">
        <f>IF(AND(O62&lt;&gt;"",F62&lt;&gt;"",O62&lt;&gt;F62),"SEVERITY CHANGED","")</f>
        <v/>
      </c>
    </row>
    <row r="63" ht="15" customHeight="1" s="55">
      <c r="A63" s="92" t="n"/>
      <c r="B63" s="92" t="n"/>
      <c r="C63" s="93" t="n"/>
      <c r="D63" s="93" t="n"/>
      <c r="E63" s="93" t="n"/>
      <c r="F63" s="92" t="n"/>
      <c r="G63" s="93" t="n"/>
      <c r="H63" s="92" t="n"/>
      <c r="I63" s="93" t="n"/>
      <c r="J63" s="92" t="n"/>
      <c r="K63" s="98">
        <f>IF(COUNT(F63,H63,J63)=3,F63*H63*J63,"")</f>
        <v/>
      </c>
      <c r="L63" s="106">
        <f>IF(K63="","",IF(OR(F63&gt;=9,K63&gt;=100,AND(F63&gt;=7,J63&gt;=7)),"ACTION REQUIRED","Monitor"))</f>
        <v/>
      </c>
      <c r="M63" s="107" t="n"/>
      <c r="N63" s="108" t="n"/>
      <c r="O63" s="107" t="n"/>
      <c r="P63" s="107" t="n"/>
      <c r="Q63" s="107" t="n"/>
      <c r="R63" s="98">
        <f>IF(COUNT(O63,P63,Q63)=3,O63*P63*Q63,"")</f>
        <v/>
      </c>
      <c r="S63" s="109">
        <f>IF(AND(O63&lt;&gt;"",F63&lt;&gt;"",O63&lt;&gt;F63),"SEVERITY CHANGED","")</f>
        <v/>
      </c>
    </row>
    <row r="64" ht="15" customHeight="1" s="55">
      <c r="A64" s="92" t="n"/>
      <c r="B64" s="92" t="n"/>
      <c r="C64" s="93" t="n"/>
      <c r="D64" s="93" t="n"/>
      <c r="E64" s="93" t="n"/>
      <c r="F64" s="92" t="n"/>
      <c r="G64" s="93" t="n"/>
      <c r="H64" s="92" t="n"/>
      <c r="I64" s="93" t="n"/>
      <c r="J64" s="92" t="n"/>
      <c r="K64" s="98">
        <f>IF(COUNT(F64,H64,J64)=3,F64*H64*J64,"")</f>
        <v/>
      </c>
      <c r="L64" s="106">
        <f>IF(K64="","",IF(OR(F64&gt;=9,K64&gt;=100,AND(F64&gt;=7,J64&gt;=7)),"ACTION REQUIRED","Monitor"))</f>
        <v/>
      </c>
      <c r="M64" s="107" t="n"/>
      <c r="N64" s="108" t="n"/>
      <c r="O64" s="107" t="n"/>
      <c r="P64" s="107" t="n"/>
      <c r="Q64" s="107" t="n"/>
      <c r="R64" s="98">
        <f>IF(COUNT(O64,P64,Q64)=3,O64*P64*Q64,"")</f>
        <v/>
      </c>
      <c r="S64" s="109">
        <f>IF(AND(O64&lt;&gt;"",F64&lt;&gt;"",O64&lt;&gt;F64),"SEVERITY CHANGED","")</f>
        <v/>
      </c>
    </row>
    <row r="65" ht="15" customHeight="1" s="55">
      <c r="A65" s="92" t="n"/>
      <c r="B65" s="92" t="n"/>
      <c r="C65" s="93" t="n"/>
      <c r="D65" s="93" t="n"/>
      <c r="E65" s="93" t="n"/>
      <c r="F65" s="92" t="n"/>
      <c r="G65" s="93" t="n"/>
      <c r="H65" s="92" t="n"/>
      <c r="I65" s="93" t="n"/>
      <c r="J65" s="92" t="n"/>
      <c r="K65" s="98">
        <f>IF(COUNT(F65,H65,J65)=3,F65*H65*J65,"")</f>
        <v/>
      </c>
      <c r="L65" s="106">
        <f>IF(K65="","",IF(OR(F65&gt;=9,K65&gt;=100,AND(F65&gt;=7,J65&gt;=7)),"ACTION REQUIRED","Monitor"))</f>
        <v/>
      </c>
      <c r="M65" s="107" t="n"/>
      <c r="N65" s="108" t="n"/>
      <c r="O65" s="107" t="n"/>
      <c r="P65" s="107" t="n"/>
      <c r="Q65" s="107" t="n"/>
      <c r="R65" s="98">
        <f>IF(COUNT(O65,P65,Q65)=3,O65*P65*Q65,"")</f>
        <v/>
      </c>
      <c r="S65" s="109">
        <f>IF(AND(O65&lt;&gt;"",F65&lt;&gt;"",O65&lt;&gt;F65),"SEVERITY CHANGED","")</f>
        <v/>
      </c>
    </row>
    <row r="66" ht="15" customHeight="1" s="55">
      <c r="A66" s="92" t="n"/>
      <c r="B66" s="92" t="n"/>
      <c r="C66" s="93" t="n"/>
      <c r="D66" s="93" t="n"/>
      <c r="E66" s="93" t="n"/>
      <c r="F66" s="92" t="n"/>
      <c r="G66" s="93" t="n"/>
      <c r="H66" s="92" t="n"/>
      <c r="I66" s="93" t="n"/>
      <c r="J66" s="92" t="n"/>
      <c r="K66" s="98">
        <f>IF(COUNT(F66,H66,J66)=3,F66*H66*J66,"")</f>
        <v/>
      </c>
      <c r="L66" s="106">
        <f>IF(K66="","",IF(OR(F66&gt;=9,K66&gt;=100,AND(F66&gt;=7,J66&gt;=7)),"ACTION REQUIRED","Monitor"))</f>
        <v/>
      </c>
      <c r="M66" s="107" t="n"/>
      <c r="N66" s="108" t="n"/>
      <c r="O66" s="107" t="n"/>
      <c r="P66" s="107" t="n"/>
      <c r="Q66" s="107" t="n"/>
      <c r="R66" s="98">
        <f>IF(COUNT(O66,P66,Q66)=3,O66*P66*Q66,"")</f>
        <v/>
      </c>
      <c r="S66" s="109">
        <f>IF(AND(O66&lt;&gt;"",F66&lt;&gt;"",O66&lt;&gt;F66),"SEVERITY CHANGED","")</f>
        <v/>
      </c>
    </row>
    <row r="67" ht="15" customHeight="1" s="55">
      <c r="A67" s="92" t="n"/>
      <c r="B67" s="92" t="n"/>
      <c r="C67" s="93" t="n"/>
      <c r="D67" s="93" t="n"/>
      <c r="E67" s="93" t="n"/>
      <c r="F67" s="92" t="n"/>
      <c r="G67" s="93" t="n"/>
      <c r="H67" s="92" t="n"/>
      <c r="I67" s="93" t="n"/>
      <c r="J67" s="92" t="n"/>
      <c r="K67" s="98">
        <f>IF(COUNT(F67,H67,J67)=3,F67*H67*J67,"")</f>
        <v/>
      </c>
      <c r="L67" s="106">
        <f>IF(K67="","",IF(OR(F67&gt;=9,K67&gt;=100,AND(F67&gt;=7,J67&gt;=7)),"ACTION REQUIRED","Monitor"))</f>
        <v/>
      </c>
      <c r="M67" s="107" t="n"/>
      <c r="N67" s="108" t="n"/>
      <c r="O67" s="107" t="n"/>
      <c r="P67" s="107" t="n"/>
      <c r="Q67" s="107" t="n"/>
      <c r="R67" s="98">
        <f>IF(COUNT(O67,P67,Q67)=3,O67*P67*Q67,"")</f>
        <v/>
      </c>
      <c r="S67" s="109">
        <f>IF(AND(O67&lt;&gt;"",F67&lt;&gt;"",O67&lt;&gt;F67),"SEVERITY CHANGED","")</f>
        <v/>
      </c>
    </row>
    <row r="68" ht="15" customHeight="1" s="55">
      <c r="A68" s="92" t="n"/>
      <c r="B68" s="92" t="n"/>
      <c r="C68" s="93" t="n"/>
      <c r="D68" s="93" t="n"/>
      <c r="E68" s="93" t="n"/>
      <c r="F68" s="92" t="n"/>
      <c r="G68" s="93" t="n"/>
      <c r="H68" s="92" t="n"/>
      <c r="I68" s="93" t="n"/>
      <c r="J68" s="92" t="n"/>
      <c r="K68" s="98">
        <f>IF(COUNT(F68,H68,J68)=3,F68*H68*J68,"")</f>
        <v/>
      </c>
      <c r="L68" s="106">
        <f>IF(K68="","",IF(OR(F68&gt;=9,K68&gt;=100,AND(F68&gt;=7,J68&gt;=7)),"ACTION REQUIRED","Monitor"))</f>
        <v/>
      </c>
      <c r="M68" s="107" t="n"/>
      <c r="N68" s="108" t="n"/>
      <c r="O68" s="107" t="n"/>
      <c r="P68" s="107" t="n"/>
      <c r="Q68" s="107" t="n"/>
      <c r="R68" s="98">
        <f>IF(COUNT(O68,P68,Q68)=3,O68*P68*Q68,"")</f>
        <v/>
      </c>
      <c r="S68" s="109">
        <f>IF(AND(O68&lt;&gt;"",F68&lt;&gt;"",O68&lt;&gt;F68),"SEVERITY CHANGED","")</f>
        <v/>
      </c>
    </row>
    <row r="69" ht="15" customHeight="1" s="55">
      <c r="A69" s="92" t="n"/>
      <c r="B69" s="92" t="n"/>
      <c r="C69" s="93" t="n"/>
      <c r="D69" s="93" t="n"/>
      <c r="E69" s="93" t="n"/>
      <c r="F69" s="92" t="n"/>
      <c r="G69" s="93" t="n"/>
      <c r="H69" s="92" t="n"/>
      <c r="I69" s="93" t="n"/>
      <c r="J69" s="92" t="n"/>
      <c r="K69" s="98">
        <f>IF(COUNT(F69,H69,J69)=3,F69*H69*J69,"")</f>
        <v/>
      </c>
      <c r="L69" s="106">
        <f>IF(K69="","",IF(OR(F69&gt;=9,K69&gt;=100,AND(F69&gt;=7,J69&gt;=7)),"ACTION REQUIRED","Monitor"))</f>
        <v/>
      </c>
      <c r="M69" s="107" t="n"/>
      <c r="N69" s="108" t="n"/>
      <c r="O69" s="107" t="n"/>
      <c r="P69" s="107" t="n"/>
      <c r="Q69" s="107" t="n"/>
      <c r="R69" s="98">
        <f>IF(COUNT(O69,P69,Q69)=3,O69*P69*Q69,"")</f>
        <v/>
      </c>
      <c r="S69" s="109">
        <f>IF(AND(O69&lt;&gt;"",F69&lt;&gt;"",O69&lt;&gt;F69),"SEVERITY CHANGED","")</f>
        <v/>
      </c>
    </row>
    <row r="70" ht="15" customHeight="1" s="55">
      <c r="A70" s="92" t="n"/>
      <c r="B70" s="92" t="n"/>
      <c r="C70" s="93" t="n"/>
      <c r="D70" s="93" t="n"/>
      <c r="E70" s="93" t="n"/>
      <c r="F70" s="92" t="n"/>
      <c r="G70" s="93" t="n"/>
      <c r="H70" s="92" t="n"/>
      <c r="I70" s="93" t="n"/>
      <c r="J70" s="92" t="n"/>
      <c r="K70" s="98">
        <f>IF(COUNT(F70,H70,J70)=3,F70*H70*J70,"")</f>
        <v/>
      </c>
      <c r="L70" s="106">
        <f>IF(K70="","",IF(OR(F70&gt;=9,K70&gt;=100,AND(F70&gt;=7,J70&gt;=7)),"ACTION REQUIRED","Monitor"))</f>
        <v/>
      </c>
      <c r="M70" s="107" t="n"/>
      <c r="N70" s="108" t="n"/>
      <c r="O70" s="107" t="n"/>
      <c r="P70" s="107" t="n"/>
      <c r="Q70" s="107" t="n"/>
      <c r="R70" s="98">
        <f>IF(COUNT(O70,P70,Q70)=3,O70*P70*Q70,"")</f>
        <v/>
      </c>
      <c r="S70" s="109">
        <f>IF(AND(O70&lt;&gt;"",F70&lt;&gt;"",O70&lt;&gt;F70),"SEVERITY CHANGED","")</f>
        <v/>
      </c>
    </row>
    <row r="71" ht="15" customHeight="1" s="55">
      <c r="A71" s="92" t="n"/>
      <c r="B71" s="92" t="n"/>
      <c r="C71" s="93" t="n"/>
      <c r="D71" s="93" t="n"/>
      <c r="E71" s="93" t="n"/>
      <c r="F71" s="92" t="n"/>
      <c r="G71" s="93" t="n"/>
      <c r="H71" s="92" t="n"/>
      <c r="I71" s="93" t="n"/>
      <c r="J71" s="92" t="n"/>
      <c r="K71" s="98">
        <f>IF(COUNT(F71,H71,J71)=3,F71*H71*J71,"")</f>
        <v/>
      </c>
      <c r="L71" s="106">
        <f>IF(K71="","",IF(OR(F71&gt;=9,K71&gt;=100,AND(F71&gt;=7,J71&gt;=7)),"ACTION REQUIRED","Monitor"))</f>
        <v/>
      </c>
      <c r="M71" s="107" t="n"/>
      <c r="N71" s="108" t="n"/>
      <c r="O71" s="107" t="n"/>
      <c r="P71" s="107" t="n"/>
      <c r="Q71" s="107" t="n"/>
      <c r="R71" s="98">
        <f>IF(COUNT(O71,P71,Q71)=3,O71*P71*Q71,"")</f>
        <v/>
      </c>
      <c r="S71" s="109">
        <f>IF(AND(O71&lt;&gt;"",F71&lt;&gt;"",O71&lt;&gt;F71),"SEVERITY CHANGED","")</f>
        <v/>
      </c>
    </row>
    <row r="72" ht="15" customHeight="1" s="55">
      <c r="A72" s="92" t="n"/>
      <c r="B72" s="92" t="n"/>
      <c r="C72" s="93" t="n"/>
      <c r="D72" s="93" t="n"/>
      <c r="E72" s="93" t="n"/>
      <c r="F72" s="92" t="n"/>
      <c r="G72" s="93" t="n"/>
      <c r="H72" s="92" t="n"/>
      <c r="I72" s="93" t="n"/>
      <c r="J72" s="92" t="n"/>
      <c r="K72" s="98">
        <f>IF(COUNT(F72,H72,J72)=3,F72*H72*J72,"")</f>
        <v/>
      </c>
      <c r="L72" s="106">
        <f>IF(K72="","",IF(OR(F72&gt;=9,K72&gt;=100,AND(F72&gt;=7,J72&gt;=7)),"ACTION REQUIRED","Monitor"))</f>
        <v/>
      </c>
      <c r="M72" s="107" t="n"/>
      <c r="N72" s="108" t="n"/>
      <c r="O72" s="107" t="n"/>
      <c r="P72" s="107" t="n"/>
      <c r="Q72" s="107" t="n"/>
      <c r="R72" s="98">
        <f>IF(COUNT(O72,P72,Q72)=3,O72*P72*Q72,"")</f>
        <v/>
      </c>
      <c r="S72" s="109">
        <f>IF(AND(O72&lt;&gt;"",F72&lt;&gt;"",O72&lt;&gt;F72),"SEVERITY CHANGED","")</f>
        <v/>
      </c>
    </row>
    <row r="73" ht="15" customHeight="1" s="55">
      <c r="A73" s="92" t="n"/>
      <c r="B73" s="92" t="n"/>
      <c r="C73" s="93" t="n"/>
      <c r="D73" s="93" t="n"/>
      <c r="E73" s="93" t="n"/>
      <c r="F73" s="92" t="n"/>
      <c r="G73" s="93" t="n"/>
      <c r="H73" s="92" t="n"/>
      <c r="I73" s="93" t="n"/>
      <c r="J73" s="92" t="n"/>
      <c r="K73" s="98">
        <f>IF(COUNT(F73,H73,J73)=3,F73*H73*J73,"")</f>
        <v/>
      </c>
      <c r="L73" s="106">
        <f>IF(K73="","",IF(OR(F73&gt;=9,K73&gt;=100,AND(F73&gt;=7,J73&gt;=7)),"ACTION REQUIRED","Monitor"))</f>
        <v/>
      </c>
      <c r="M73" s="107" t="n"/>
      <c r="N73" s="108" t="n"/>
      <c r="O73" s="107" t="n"/>
      <c r="P73" s="107" t="n"/>
      <c r="Q73" s="107" t="n"/>
      <c r="R73" s="98">
        <f>IF(COUNT(O73,P73,Q73)=3,O73*P73*Q73,"")</f>
        <v/>
      </c>
      <c r="S73" s="109">
        <f>IF(AND(O73&lt;&gt;"",F73&lt;&gt;"",O73&lt;&gt;F73),"SEVERITY CHANGED","")</f>
        <v/>
      </c>
    </row>
    <row r="74" ht="15" customHeight="1" s="55">
      <c r="A74" s="92" t="n"/>
      <c r="B74" s="92" t="n"/>
      <c r="C74" s="93" t="n"/>
      <c r="D74" s="93" t="n"/>
      <c r="E74" s="93" t="n"/>
      <c r="F74" s="92" t="n"/>
      <c r="G74" s="93" t="n"/>
      <c r="H74" s="92" t="n"/>
      <c r="I74" s="93" t="n"/>
      <c r="J74" s="92" t="n"/>
      <c r="K74" s="98">
        <f>IF(COUNT(F74,H74,J74)=3,F74*H74*J74,"")</f>
        <v/>
      </c>
      <c r="L74" s="106">
        <f>IF(K74="","",IF(OR(F74&gt;=9,K74&gt;=100,AND(F74&gt;=7,J74&gt;=7)),"ACTION REQUIRED","Monitor"))</f>
        <v/>
      </c>
      <c r="M74" s="107" t="n"/>
      <c r="N74" s="108" t="n"/>
      <c r="O74" s="107" t="n"/>
      <c r="P74" s="107" t="n"/>
      <c r="Q74" s="107" t="n"/>
      <c r="R74" s="98">
        <f>IF(COUNT(O74,P74,Q74)=3,O74*P74*Q74,"")</f>
        <v/>
      </c>
      <c r="S74" s="109">
        <f>IF(AND(O74&lt;&gt;"",F74&lt;&gt;"",O74&lt;&gt;F74),"SEVERITY CHANGED","")</f>
        <v/>
      </c>
    </row>
    <row r="75" ht="15" customHeight="1" s="55">
      <c r="A75" s="92" t="n"/>
      <c r="B75" s="92" t="n"/>
      <c r="C75" s="93" t="n"/>
      <c r="D75" s="93" t="n"/>
      <c r="E75" s="93" t="n"/>
      <c r="F75" s="92" t="n"/>
      <c r="G75" s="93" t="n"/>
      <c r="H75" s="92" t="n"/>
      <c r="I75" s="93" t="n"/>
      <c r="J75" s="92" t="n"/>
      <c r="K75" s="98">
        <f>IF(COUNT(F75,H75,J75)=3,F75*H75*J75,"")</f>
        <v/>
      </c>
      <c r="L75" s="106">
        <f>IF(K75="","",IF(OR(F75&gt;=9,K75&gt;=100,AND(F75&gt;=7,J75&gt;=7)),"ACTION REQUIRED","Monitor"))</f>
        <v/>
      </c>
      <c r="M75" s="107" t="n"/>
      <c r="N75" s="108" t="n"/>
      <c r="O75" s="107" t="n"/>
      <c r="P75" s="107" t="n"/>
      <c r="Q75" s="107" t="n"/>
      <c r="R75" s="98">
        <f>IF(COUNT(O75,P75,Q75)=3,O75*P75*Q75,"")</f>
        <v/>
      </c>
      <c r="S75" s="109">
        <f>IF(AND(O75&lt;&gt;"",F75&lt;&gt;"",O75&lt;&gt;F75),"SEVERITY CHANGED","")</f>
        <v/>
      </c>
    </row>
    <row r="76" ht="15" customHeight="1" s="55">
      <c r="A76" s="92" t="n"/>
      <c r="B76" s="92" t="n"/>
      <c r="C76" s="93" t="n"/>
      <c r="D76" s="93" t="n"/>
      <c r="E76" s="93" t="n"/>
      <c r="F76" s="92" t="n"/>
      <c r="G76" s="93" t="n"/>
      <c r="H76" s="92" t="n"/>
      <c r="I76" s="93" t="n"/>
      <c r="J76" s="92" t="n"/>
      <c r="K76" s="98">
        <f>IF(COUNT(F76,H76,J76)=3,F76*H76*J76,"")</f>
        <v/>
      </c>
      <c r="L76" s="106">
        <f>IF(K76="","",IF(OR(F76&gt;=9,K76&gt;=100,AND(F76&gt;=7,J76&gt;=7)),"ACTION REQUIRED","Monitor"))</f>
        <v/>
      </c>
      <c r="M76" s="107" t="n"/>
      <c r="N76" s="108" t="n"/>
      <c r="O76" s="107" t="n"/>
      <c r="P76" s="107" t="n"/>
      <c r="Q76" s="107" t="n"/>
      <c r="R76" s="98">
        <f>IF(COUNT(O76,P76,Q76)=3,O76*P76*Q76,"")</f>
        <v/>
      </c>
      <c r="S76" s="109">
        <f>IF(AND(O76&lt;&gt;"",F76&lt;&gt;"",O76&lt;&gt;F76),"SEVERITY CHANGED","")</f>
        <v/>
      </c>
    </row>
    <row r="77" ht="15" customHeight="1" s="55">
      <c r="A77" s="92" t="n"/>
      <c r="B77" s="92" t="n"/>
      <c r="C77" s="93" t="n"/>
      <c r="D77" s="93" t="n"/>
      <c r="E77" s="93" t="n"/>
      <c r="F77" s="92" t="n"/>
      <c r="G77" s="93" t="n"/>
      <c r="H77" s="92" t="n"/>
      <c r="I77" s="93" t="n"/>
      <c r="J77" s="92" t="n"/>
      <c r="K77" s="98">
        <f>IF(COUNT(F77,H77,J77)=3,F77*H77*J77,"")</f>
        <v/>
      </c>
      <c r="L77" s="106">
        <f>IF(K77="","",IF(OR(F77&gt;=9,K77&gt;=100,AND(F77&gt;=7,J77&gt;=7)),"ACTION REQUIRED","Monitor"))</f>
        <v/>
      </c>
      <c r="M77" s="107" t="n"/>
      <c r="N77" s="108" t="n"/>
      <c r="O77" s="107" t="n"/>
      <c r="P77" s="107" t="n"/>
      <c r="Q77" s="107" t="n"/>
      <c r="R77" s="98">
        <f>IF(COUNT(O77,P77,Q77)=3,O77*P77*Q77,"")</f>
        <v/>
      </c>
      <c r="S77" s="109">
        <f>IF(AND(O77&lt;&gt;"",F77&lt;&gt;"",O77&lt;&gt;F77),"SEVERITY CHANGED","")</f>
        <v/>
      </c>
    </row>
    <row r="78" ht="15" customHeight="1" s="55">
      <c r="A78" s="92" t="n"/>
      <c r="B78" s="92" t="n"/>
      <c r="C78" s="93" t="n"/>
      <c r="D78" s="93" t="n"/>
      <c r="E78" s="93" t="n"/>
      <c r="F78" s="92" t="n"/>
      <c r="G78" s="93" t="n"/>
      <c r="H78" s="92" t="n"/>
      <c r="I78" s="93" t="n"/>
      <c r="J78" s="92" t="n"/>
      <c r="K78" s="98">
        <f>IF(COUNT(F78,H78,J78)=3,F78*H78*J78,"")</f>
        <v/>
      </c>
      <c r="L78" s="106">
        <f>IF(K78="","",IF(OR(F78&gt;=9,K78&gt;=100,AND(F78&gt;=7,J78&gt;=7)),"ACTION REQUIRED","Monitor"))</f>
        <v/>
      </c>
      <c r="M78" s="107" t="n"/>
      <c r="N78" s="108" t="n"/>
      <c r="O78" s="107" t="n"/>
      <c r="P78" s="107" t="n"/>
      <c r="Q78" s="107" t="n"/>
      <c r="R78" s="98">
        <f>IF(COUNT(O78,P78,Q78)=3,O78*P78*Q78,"")</f>
        <v/>
      </c>
      <c r="S78" s="109">
        <f>IF(AND(O78&lt;&gt;"",F78&lt;&gt;"",O78&lt;&gt;F78),"SEVERITY CHANGED","")</f>
        <v/>
      </c>
    </row>
    <row r="79" ht="15" customHeight="1" s="55">
      <c r="A79" s="92" t="n"/>
      <c r="B79" s="92" t="n"/>
      <c r="C79" s="93" t="n"/>
      <c r="D79" s="93" t="n"/>
      <c r="E79" s="93" t="n"/>
      <c r="F79" s="92" t="n"/>
      <c r="G79" s="93" t="n"/>
      <c r="H79" s="92" t="n"/>
      <c r="I79" s="93" t="n"/>
      <c r="J79" s="92" t="n"/>
      <c r="K79" s="98">
        <f>IF(COUNT(F79,H79,J79)=3,F79*H79*J79,"")</f>
        <v/>
      </c>
      <c r="L79" s="106">
        <f>IF(K79="","",IF(OR(F79&gt;=9,K79&gt;=100,AND(F79&gt;=7,J79&gt;=7)),"ACTION REQUIRED","Monitor"))</f>
        <v/>
      </c>
      <c r="M79" s="107" t="n"/>
      <c r="N79" s="108" t="n"/>
      <c r="O79" s="107" t="n"/>
      <c r="P79" s="107" t="n"/>
      <c r="Q79" s="107" t="n"/>
      <c r="R79" s="98">
        <f>IF(COUNT(O79,P79,Q79)=3,O79*P79*Q79,"")</f>
        <v/>
      </c>
      <c r="S79" s="109">
        <f>IF(AND(O79&lt;&gt;"",F79&lt;&gt;"",O79&lt;&gt;F79),"SEVERITY CHANGED","")</f>
        <v/>
      </c>
    </row>
    <row r="80" ht="15" customHeight="1" s="55">
      <c r="A80" s="92" t="n"/>
      <c r="B80" s="92" t="n"/>
      <c r="C80" s="93" t="n"/>
      <c r="D80" s="93" t="n"/>
      <c r="E80" s="93" t="n"/>
      <c r="F80" s="92" t="n"/>
      <c r="G80" s="93" t="n"/>
      <c r="H80" s="92" t="n"/>
      <c r="I80" s="93" t="n"/>
      <c r="J80" s="92" t="n"/>
      <c r="K80" s="98">
        <f>IF(COUNT(F80,H80,J80)=3,F80*H80*J80,"")</f>
        <v/>
      </c>
      <c r="L80" s="106">
        <f>IF(K80="","",IF(OR(F80&gt;=9,K80&gt;=100,AND(F80&gt;=7,J80&gt;=7)),"ACTION REQUIRED","Monitor"))</f>
        <v/>
      </c>
      <c r="M80" s="107" t="n"/>
      <c r="N80" s="108" t="n"/>
      <c r="O80" s="107" t="n"/>
      <c r="P80" s="107" t="n"/>
      <c r="Q80" s="107" t="n"/>
      <c r="R80" s="98">
        <f>IF(COUNT(O80,P80,Q80)=3,O80*P80*Q80,"")</f>
        <v/>
      </c>
      <c r="S80" s="109">
        <f>IF(AND(O80&lt;&gt;"",F80&lt;&gt;"",O80&lt;&gt;F80),"SEVERITY CHANGED","")</f>
        <v/>
      </c>
    </row>
    <row r="81" ht="15" customHeight="1" s="55">
      <c r="A81" s="92" t="n"/>
      <c r="B81" s="92" t="n"/>
      <c r="C81" s="93" t="n"/>
      <c r="D81" s="93" t="n"/>
      <c r="E81" s="93" t="n"/>
      <c r="F81" s="92" t="n"/>
      <c r="G81" s="93" t="n"/>
      <c r="H81" s="92" t="n"/>
      <c r="I81" s="93" t="n"/>
      <c r="J81" s="92" t="n"/>
      <c r="K81" s="98">
        <f>IF(COUNT(F81,H81,J81)=3,F81*H81*J81,"")</f>
        <v/>
      </c>
      <c r="L81" s="106">
        <f>IF(K81="","",IF(OR(F81&gt;=9,K81&gt;=100,AND(F81&gt;=7,J81&gt;=7)),"ACTION REQUIRED","Monitor"))</f>
        <v/>
      </c>
      <c r="M81" s="107" t="n"/>
      <c r="N81" s="108" t="n"/>
      <c r="O81" s="107" t="n"/>
      <c r="P81" s="107" t="n"/>
      <c r="Q81" s="107" t="n"/>
      <c r="R81" s="98">
        <f>IF(COUNT(O81,P81,Q81)=3,O81*P81*Q81,"")</f>
        <v/>
      </c>
      <c r="S81" s="109">
        <f>IF(AND(O81&lt;&gt;"",F81&lt;&gt;"",O81&lt;&gt;F81),"SEVERITY CHANGED","")</f>
        <v/>
      </c>
    </row>
    <row r="82" ht="15" customHeight="1" s="55">
      <c r="A82" s="92" t="n"/>
      <c r="B82" s="92" t="n"/>
      <c r="C82" s="93" t="n"/>
      <c r="D82" s="93" t="n"/>
      <c r="E82" s="93" t="n"/>
      <c r="F82" s="92" t="n"/>
      <c r="G82" s="93" t="n"/>
      <c r="H82" s="92" t="n"/>
      <c r="I82" s="93" t="n"/>
      <c r="J82" s="92" t="n"/>
      <c r="K82" s="98">
        <f>IF(COUNT(F82,H82,J82)=3,F82*H82*J82,"")</f>
        <v/>
      </c>
      <c r="L82" s="106">
        <f>IF(K82="","",IF(OR(F82&gt;=9,K82&gt;=100,AND(F82&gt;=7,J82&gt;=7)),"ACTION REQUIRED","Monitor"))</f>
        <v/>
      </c>
      <c r="M82" s="107" t="n"/>
      <c r="N82" s="108" t="n"/>
      <c r="O82" s="107" t="n"/>
      <c r="P82" s="107" t="n"/>
      <c r="Q82" s="107" t="n"/>
      <c r="R82" s="98">
        <f>IF(COUNT(O82,P82,Q82)=3,O82*P82*Q82,"")</f>
        <v/>
      </c>
      <c r="S82" s="109">
        <f>IF(AND(O82&lt;&gt;"",F82&lt;&gt;"",O82&lt;&gt;F82),"SEVERITY CHANGED","")</f>
        <v/>
      </c>
    </row>
    <row r="83" ht="15" customHeight="1" s="55">
      <c r="A83" s="92" t="n"/>
      <c r="B83" s="92" t="n"/>
      <c r="C83" s="93" t="n"/>
      <c r="D83" s="93" t="n"/>
      <c r="E83" s="93" t="n"/>
      <c r="F83" s="92" t="n"/>
      <c r="G83" s="93" t="n"/>
      <c r="H83" s="92" t="n"/>
      <c r="I83" s="93" t="n"/>
      <c r="J83" s="92" t="n"/>
      <c r="K83" s="98">
        <f>IF(COUNT(F83,H83,J83)=3,F83*H83*J83,"")</f>
        <v/>
      </c>
      <c r="L83" s="106">
        <f>IF(K83="","",IF(OR(F83&gt;=9,K83&gt;=100,AND(F83&gt;=7,J83&gt;=7)),"ACTION REQUIRED","Monitor"))</f>
        <v/>
      </c>
      <c r="M83" s="107" t="n"/>
      <c r="N83" s="108" t="n"/>
      <c r="O83" s="107" t="n"/>
      <c r="P83" s="107" t="n"/>
      <c r="Q83" s="107" t="n"/>
      <c r="R83" s="98">
        <f>IF(COUNT(O83,P83,Q83)=3,O83*P83*Q83,"")</f>
        <v/>
      </c>
      <c r="S83" s="109">
        <f>IF(AND(O83&lt;&gt;"",F83&lt;&gt;"",O83&lt;&gt;F83),"SEVERITY CHANGED","")</f>
        <v/>
      </c>
    </row>
    <row r="84" ht="15" customHeight="1" s="55">
      <c r="A84" s="92" t="n"/>
      <c r="B84" s="92" t="n"/>
      <c r="C84" s="93" t="n"/>
      <c r="D84" s="93" t="n"/>
      <c r="E84" s="93" t="n"/>
      <c r="F84" s="92" t="n"/>
      <c r="G84" s="93" t="n"/>
      <c r="H84" s="92" t="n"/>
      <c r="I84" s="93" t="n"/>
      <c r="J84" s="92" t="n"/>
      <c r="K84" s="98">
        <f>IF(COUNT(F84,H84,J84)=3,F84*H84*J84,"")</f>
        <v/>
      </c>
      <c r="L84" s="106">
        <f>IF(K84="","",IF(OR(F84&gt;=9,K84&gt;=100,AND(F84&gt;=7,J84&gt;=7)),"ACTION REQUIRED","Monitor"))</f>
        <v/>
      </c>
      <c r="M84" s="107" t="n"/>
      <c r="N84" s="108" t="n"/>
      <c r="O84" s="107" t="n"/>
      <c r="P84" s="107" t="n"/>
      <c r="Q84" s="107" t="n"/>
      <c r="R84" s="98">
        <f>IF(COUNT(O84,P84,Q84)=3,O84*P84*Q84,"")</f>
        <v/>
      </c>
      <c r="S84" s="109">
        <f>IF(AND(O84&lt;&gt;"",F84&lt;&gt;"",O84&lt;&gt;F84),"SEVERITY CHANGED","")</f>
        <v/>
      </c>
    </row>
    <row r="85" ht="15" customHeight="1" s="55">
      <c r="A85" s="92" t="n"/>
      <c r="B85" s="92" t="n"/>
      <c r="C85" s="93" t="n"/>
      <c r="D85" s="93" t="n"/>
      <c r="E85" s="93" t="n"/>
      <c r="F85" s="92" t="n"/>
      <c r="G85" s="93" t="n"/>
      <c r="H85" s="92" t="n"/>
      <c r="I85" s="93" t="n"/>
      <c r="J85" s="92" t="n"/>
      <c r="K85" s="98">
        <f>IF(COUNT(F85,H85,J85)=3,F85*H85*J85,"")</f>
        <v/>
      </c>
      <c r="L85" s="106">
        <f>IF(K85="","",IF(OR(F85&gt;=9,K85&gt;=100,AND(F85&gt;=7,J85&gt;=7)),"ACTION REQUIRED","Monitor"))</f>
        <v/>
      </c>
      <c r="M85" s="107" t="n"/>
      <c r="N85" s="108" t="n"/>
      <c r="O85" s="107" t="n"/>
      <c r="P85" s="107" t="n"/>
      <c r="Q85" s="107" t="n"/>
      <c r="R85" s="98">
        <f>IF(COUNT(O85,P85,Q85)=3,O85*P85*Q85,"")</f>
        <v/>
      </c>
      <c r="S85" s="109">
        <f>IF(AND(O85&lt;&gt;"",F85&lt;&gt;"",O85&lt;&gt;F85),"SEVERITY CHANGED","")</f>
        <v/>
      </c>
    </row>
    <row r="86" ht="15" customHeight="1" s="55">
      <c r="A86" s="92" t="n"/>
      <c r="B86" s="92" t="n"/>
      <c r="C86" s="93" t="n"/>
      <c r="D86" s="93" t="n"/>
      <c r="E86" s="93" t="n"/>
      <c r="F86" s="92" t="n"/>
      <c r="G86" s="93" t="n"/>
      <c r="H86" s="92" t="n"/>
      <c r="I86" s="93" t="n"/>
      <c r="J86" s="92" t="n"/>
      <c r="K86" s="98">
        <f>IF(COUNT(F86,H86,J86)=3,F86*H86*J86,"")</f>
        <v/>
      </c>
      <c r="L86" s="106">
        <f>IF(K86="","",IF(OR(F86&gt;=9,K86&gt;=100,AND(F86&gt;=7,J86&gt;=7)),"ACTION REQUIRED","Monitor"))</f>
        <v/>
      </c>
      <c r="M86" s="107" t="n"/>
      <c r="N86" s="108" t="n"/>
      <c r="O86" s="107" t="n"/>
      <c r="P86" s="107" t="n"/>
      <c r="Q86" s="107" t="n"/>
      <c r="R86" s="98">
        <f>IF(COUNT(O86,P86,Q86)=3,O86*P86*Q86,"")</f>
        <v/>
      </c>
      <c r="S86" s="109">
        <f>IF(AND(O86&lt;&gt;"",F86&lt;&gt;"",O86&lt;&gt;F86),"SEVERITY CHANGED","")</f>
        <v/>
      </c>
    </row>
    <row r="87" ht="15" customHeight="1" s="55">
      <c r="A87" s="92" t="n"/>
      <c r="B87" s="92" t="n"/>
      <c r="C87" s="93" t="n"/>
      <c r="D87" s="93" t="n"/>
      <c r="E87" s="93" t="n"/>
      <c r="F87" s="92" t="n"/>
      <c r="G87" s="93" t="n"/>
      <c r="H87" s="92" t="n"/>
      <c r="I87" s="93" t="n"/>
      <c r="J87" s="92" t="n"/>
      <c r="K87" s="98">
        <f>IF(COUNT(F87,H87,J87)=3,F87*H87*J87,"")</f>
        <v/>
      </c>
      <c r="L87" s="106">
        <f>IF(K87="","",IF(OR(F87&gt;=9,K87&gt;=100,AND(F87&gt;=7,J87&gt;=7)),"ACTION REQUIRED","Monitor"))</f>
        <v/>
      </c>
      <c r="M87" s="107" t="n"/>
      <c r="N87" s="108" t="n"/>
      <c r="O87" s="107" t="n"/>
      <c r="P87" s="107" t="n"/>
      <c r="Q87" s="107" t="n"/>
      <c r="R87" s="98">
        <f>IF(COUNT(O87,P87,Q87)=3,O87*P87*Q87,"")</f>
        <v/>
      </c>
      <c r="S87" s="109">
        <f>IF(AND(O87&lt;&gt;"",F87&lt;&gt;"",O87&lt;&gt;F87),"SEVERITY CHANGED","")</f>
        <v/>
      </c>
    </row>
    <row r="88" ht="15" customHeight="1" s="55">
      <c r="A88" s="92" t="n"/>
      <c r="B88" s="92" t="n"/>
      <c r="C88" s="93" t="n"/>
      <c r="D88" s="93" t="n"/>
      <c r="E88" s="93" t="n"/>
      <c r="F88" s="92" t="n"/>
      <c r="G88" s="93" t="n"/>
      <c r="H88" s="92" t="n"/>
      <c r="I88" s="93" t="n"/>
      <c r="J88" s="92" t="n"/>
      <c r="K88" s="98">
        <f>IF(COUNT(F88,H88,J88)=3,F88*H88*J88,"")</f>
        <v/>
      </c>
      <c r="L88" s="106">
        <f>IF(K88="","",IF(OR(F88&gt;=9,K88&gt;=100,AND(F88&gt;=7,J88&gt;=7)),"ACTION REQUIRED","Monitor"))</f>
        <v/>
      </c>
      <c r="M88" s="107" t="n"/>
      <c r="N88" s="108" t="n"/>
      <c r="O88" s="107" t="n"/>
      <c r="P88" s="107" t="n"/>
      <c r="Q88" s="107" t="n"/>
      <c r="R88" s="98">
        <f>IF(COUNT(O88,P88,Q88)=3,O88*P88*Q88,"")</f>
        <v/>
      </c>
      <c r="S88" s="109">
        <f>IF(AND(O88&lt;&gt;"",F88&lt;&gt;"",O88&lt;&gt;F88),"SEVERITY CHANGED","")</f>
        <v/>
      </c>
    </row>
    <row r="89" ht="15" customHeight="1" s="55">
      <c r="A89" s="92" t="n"/>
      <c r="B89" s="92" t="n"/>
      <c r="C89" s="93" t="n"/>
      <c r="D89" s="93" t="n"/>
      <c r="E89" s="93" t="n"/>
      <c r="F89" s="92" t="n"/>
      <c r="G89" s="93" t="n"/>
      <c r="H89" s="92" t="n"/>
      <c r="I89" s="93" t="n"/>
      <c r="J89" s="92" t="n"/>
      <c r="K89" s="98">
        <f>IF(COUNT(F89,H89,J89)=3,F89*H89*J89,"")</f>
        <v/>
      </c>
      <c r="L89" s="106">
        <f>IF(K89="","",IF(OR(F89&gt;=9,K89&gt;=100,AND(F89&gt;=7,J89&gt;=7)),"ACTION REQUIRED","Monitor"))</f>
        <v/>
      </c>
      <c r="M89" s="107" t="n"/>
      <c r="N89" s="108" t="n"/>
      <c r="O89" s="107" t="n"/>
      <c r="P89" s="107" t="n"/>
      <c r="Q89" s="107" t="n"/>
      <c r="R89" s="98">
        <f>IF(COUNT(O89,P89,Q89)=3,O89*P89*Q89,"")</f>
        <v/>
      </c>
      <c r="S89" s="109">
        <f>IF(AND(O89&lt;&gt;"",F89&lt;&gt;"",O89&lt;&gt;F89),"SEVERITY CHANGED","")</f>
        <v/>
      </c>
    </row>
    <row r="90" ht="15" customHeight="1" s="55">
      <c r="A90" s="92" t="n"/>
      <c r="B90" s="92" t="n"/>
      <c r="C90" s="93" t="n"/>
      <c r="D90" s="93" t="n"/>
      <c r="E90" s="93" t="n"/>
      <c r="F90" s="92" t="n"/>
      <c r="G90" s="93" t="n"/>
      <c r="H90" s="92" t="n"/>
      <c r="I90" s="93" t="n"/>
      <c r="J90" s="92" t="n"/>
      <c r="K90" s="98">
        <f>IF(COUNT(F90,H90,J90)=3,F90*H90*J90,"")</f>
        <v/>
      </c>
      <c r="L90" s="106">
        <f>IF(K90="","",IF(OR(F90&gt;=9,K90&gt;=100,AND(F90&gt;=7,J90&gt;=7)),"ACTION REQUIRED","Monitor"))</f>
        <v/>
      </c>
      <c r="M90" s="107" t="n"/>
      <c r="N90" s="108" t="n"/>
      <c r="O90" s="107" t="n"/>
      <c r="P90" s="107" t="n"/>
      <c r="Q90" s="107" t="n"/>
      <c r="R90" s="98">
        <f>IF(COUNT(O90,P90,Q90)=3,O90*P90*Q90,"")</f>
        <v/>
      </c>
      <c r="S90" s="109">
        <f>IF(AND(O90&lt;&gt;"",F90&lt;&gt;"",O90&lt;&gt;F90),"SEVERITY CHANGED","")</f>
        <v/>
      </c>
    </row>
    <row r="91" ht="15" customHeight="1" s="55">
      <c r="A91" s="92" t="n"/>
      <c r="B91" s="92" t="n"/>
      <c r="C91" s="93" t="n"/>
      <c r="D91" s="93" t="n"/>
      <c r="E91" s="93" t="n"/>
      <c r="F91" s="92" t="n"/>
      <c r="G91" s="93" t="n"/>
      <c r="H91" s="92" t="n"/>
      <c r="I91" s="93" t="n"/>
      <c r="J91" s="92" t="n"/>
      <c r="K91" s="98">
        <f>IF(COUNT(F91,H91,J91)=3,F91*H91*J91,"")</f>
        <v/>
      </c>
      <c r="L91" s="106">
        <f>IF(K91="","",IF(OR(F91&gt;=9,K91&gt;=100,AND(F91&gt;=7,J91&gt;=7)),"ACTION REQUIRED","Monitor"))</f>
        <v/>
      </c>
      <c r="M91" s="107" t="n"/>
      <c r="N91" s="108" t="n"/>
      <c r="O91" s="107" t="n"/>
      <c r="P91" s="107" t="n"/>
      <c r="Q91" s="107" t="n"/>
      <c r="R91" s="98">
        <f>IF(COUNT(O91,P91,Q91)=3,O91*P91*Q91,"")</f>
        <v/>
      </c>
      <c r="S91" s="109">
        <f>IF(AND(O91&lt;&gt;"",F91&lt;&gt;"",O91&lt;&gt;F91),"SEVERITY CHANGED","")</f>
        <v/>
      </c>
    </row>
    <row r="92" ht="15" customHeight="1" s="55">
      <c r="A92" s="92" t="n"/>
      <c r="B92" s="92" t="n"/>
      <c r="C92" s="93" t="n"/>
      <c r="D92" s="93" t="n"/>
      <c r="E92" s="93" t="n"/>
      <c r="F92" s="92" t="n"/>
      <c r="G92" s="93" t="n"/>
      <c r="H92" s="92" t="n"/>
      <c r="I92" s="93" t="n"/>
      <c r="J92" s="92" t="n"/>
      <c r="K92" s="98">
        <f>IF(COUNT(F92,H92,J92)=3,F92*H92*J92,"")</f>
        <v/>
      </c>
      <c r="L92" s="106">
        <f>IF(K92="","",IF(OR(F92&gt;=9,K92&gt;=100,AND(F92&gt;=7,J92&gt;=7)),"ACTION REQUIRED","Monitor"))</f>
        <v/>
      </c>
      <c r="M92" s="107" t="n"/>
      <c r="N92" s="108" t="n"/>
      <c r="O92" s="107" t="n"/>
      <c r="P92" s="107" t="n"/>
      <c r="Q92" s="107" t="n"/>
      <c r="R92" s="98">
        <f>IF(COUNT(O92,P92,Q92)=3,O92*P92*Q92,"")</f>
        <v/>
      </c>
      <c r="S92" s="109">
        <f>IF(AND(O92&lt;&gt;"",F92&lt;&gt;"",O92&lt;&gt;F92),"SEVERITY CHANGED","")</f>
        <v/>
      </c>
    </row>
    <row r="93" ht="15" customHeight="1" s="55">
      <c r="A93" s="92" t="n"/>
      <c r="B93" s="92" t="n"/>
      <c r="C93" s="93" t="n"/>
      <c r="D93" s="93" t="n"/>
      <c r="E93" s="93" t="n"/>
      <c r="F93" s="92" t="n"/>
      <c r="G93" s="93" t="n"/>
      <c r="H93" s="92" t="n"/>
      <c r="I93" s="93" t="n"/>
      <c r="J93" s="92" t="n"/>
      <c r="K93" s="98">
        <f>IF(COUNT(F93,H93,J93)=3,F93*H93*J93,"")</f>
        <v/>
      </c>
      <c r="L93" s="106">
        <f>IF(K93="","",IF(OR(F93&gt;=9,K93&gt;=100,AND(F93&gt;=7,J93&gt;=7)),"ACTION REQUIRED","Monitor"))</f>
        <v/>
      </c>
      <c r="M93" s="107" t="n"/>
      <c r="N93" s="108" t="n"/>
      <c r="O93" s="107" t="n"/>
      <c r="P93" s="107" t="n"/>
      <c r="Q93" s="107" t="n"/>
      <c r="R93" s="98">
        <f>IF(COUNT(O93,P93,Q93)=3,O93*P93*Q93,"")</f>
        <v/>
      </c>
      <c r="S93" s="109">
        <f>IF(AND(O93&lt;&gt;"",F93&lt;&gt;"",O93&lt;&gt;F93),"SEVERITY CHANGED","")</f>
        <v/>
      </c>
    </row>
    <row r="94" ht="15" customHeight="1" s="55">
      <c r="A94" s="92" t="n"/>
      <c r="B94" s="92" t="n"/>
      <c r="C94" s="93" t="n"/>
      <c r="D94" s="93" t="n"/>
      <c r="E94" s="93" t="n"/>
      <c r="F94" s="92" t="n"/>
      <c r="G94" s="93" t="n"/>
      <c r="H94" s="92" t="n"/>
      <c r="I94" s="93" t="n"/>
      <c r="J94" s="92" t="n"/>
      <c r="K94" s="98">
        <f>IF(COUNT(F94,H94,J94)=3,F94*H94*J94,"")</f>
        <v/>
      </c>
      <c r="L94" s="106">
        <f>IF(K94="","",IF(OR(F94&gt;=9,K94&gt;=100,AND(F94&gt;=7,J94&gt;=7)),"ACTION REQUIRED","Monitor"))</f>
        <v/>
      </c>
      <c r="M94" s="107" t="n"/>
      <c r="N94" s="108" t="n"/>
      <c r="O94" s="107" t="n"/>
      <c r="P94" s="107" t="n"/>
      <c r="Q94" s="107" t="n"/>
      <c r="R94" s="98">
        <f>IF(COUNT(O94,P94,Q94)=3,O94*P94*Q94,"")</f>
        <v/>
      </c>
      <c r="S94" s="109">
        <f>IF(AND(O94&lt;&gt;"",F94&lt;&gt;"",O94&lt;&gt;F94),"SEVERITY CHANGED","")</f>
        <v/>
      </c>
    </row>
    <row r="95" ht="15" customHeight="1" s="55">
      <c r="A95" s="92" t="n"/>
      <c r="B95" s="92" t="n"/>
      <c r="C95" s="93" t="n"/>
      <c r="D95" s="93" t="n"/>
      <c r="E95" s="93" t="n"/>
      <c r="F95" s="92" t="n"/>
      <c r="G95" s="93" t="n"/>
      <c r="H95" s="92" t="n"/>
      <c r="I95" s="93" t="n"/>
      <c r="J95" s="92" t="n"/>
      <c r="K95" s="98">
        <f>IF(COUNT(F95,H95,J95)=3,F95*H95*J95,"")</f>
        <v/>
      </c>
      <c r="L95" s="106">
        <f>IF(K95="","",IF(OR(F95&gt;=9,K95&gt;=100,AND(F95&gt;=7,J95&gt;=7)),"ACTION REQUIRED","Monitor"))</f>
        <v/>
      </c>
      <c r="M95" s="107" t="n"/>
      <c r="N95" s="108" t="n"/>
      <c r="O95" s="107" t="n"/>
      <c r="P95" s="107" t="n"/>
      <c r="Q95" s="107" t="n"/>
      <c r="R95" s="98">
        <f>IF(COUNT(O95,P95,Q95)=3,O95*P95*Q95,"")</f>
        <v/>
      </c>
      <c r="S95" s="109">
        <f>IF(AND(O95&lt;&gt;"",F95&lt;&gt;"",O95&lt;&gt;F95),"SEVERITY CHANGED","")</f>
        <v/>
      </c>
    </row>
    <row r="96" ht="15" customHeight="1" s="55">
      <c r="A96" s="92" t="n"/>
      <c r="B96" s="92" t="n"/>
      <c r="C96" s="93" t="n"/>
      <c r="D96" s="93" t="n"/>
      <c r="E96" s="93" t="n"/>
      <c r="F96" s="92" t="n"/>
      <c r="G96" s="93" t="n"/>
      <c r="H96" s="92" t="n"/>
      <c r="I96" s="93" t="n"/>
      <c r="J96" s="92" t="n"/>
      <c r="K96" s="98">
        <f>IF(COUNT(F96,H96,J96)=3,F96*H96*J96,"")</f>
        <v/>
      </c>
      <c r="L96" s="106">
        <f>IF(K96="","",IF(OR(F96&gt;=9,K96&gt;=100,AND(F96&gt;=7,J96&gt;=7)),"ACTION REQUIRED","Monitor"))</f>
        <v/>
      </c>
      <c r="M96" s="107" t="n"/>
      <c r="N96" s="108" t="n"/>
      <c r="O96" s="107" t="n"/>
      <c r="P96" s="107" t="n"/>
      <c r="Q96" s="107" t="n"/>
      <c r="R96" s="98">
        <f>IF(COUNT(O96,P96,Q96)=3,O96*P96*Q96,"")</f>
        <v/>
      </c>
      <c r="S96" s="109">
        <f>IF(AND(O96&lt;&gt;"",F96&lt;&gt;"",O96&lt;&gt;F96),"SEVERITY CHANGED","")</f>
        <v/>
      </c>
    </row>
    <row r="97" ht="15" customHeight="1" s="55">
      <c r="A97" s="92" t="n"/>
      <c r="B97" s="92" t="n"/>
      <c r="C97" s="93" t="n"/>
      <c r="D97" s="93" t="n"/>
      <c r="E97" s="93" t="n"/>
      <c r="F97" s="92" t="n"/>
      <c r="G97" s="93" t="n"/>
      <c r="H97" s="92" t="n"/>
      <c r="I97" s="93" t="n"/>
      <c r="J97" s="92" t="n"/>
      <c r="K97" s="98">
        <f>IF(COUNT(F97,H97,J97)=3,F97*H97*J97,"")</f>
        <v/>
      </c>
      <c r="L97" s="106">
        <f>IF(K97="","",IF(OR(F97&gt;=9,K97&gt;=100,AND(F97&gt;=7,J97&gt;=7)),"ACTION REQUIRED","Monitor"))</f>
        <v/>
      </c>
      <c r="M97" s="107" t="n"/>
      <c r="N97" s="108" t="n"/>
      <c r="O97" s="107" t="n"/>
      <c r="P97" s="107" t="n"/>
      <c r="Q97" s="107" t="n"/>
      <c r="R97" s="98">
        <f>IF(COUNT(O97,P97,Q97)=3,O97*P97*Q97,"")</f>
        <v/>
      </c>
      <c r="S97" s="109">
        <f>IF(AND(O97&lt;&gt;"",F97&lt;&gt;"",O97&lt;&gt;F97),"SEVERITY CHANGED","")</f>
        <v/>
      </c>
    </row>
    <row r="98" ht="15" customHeight="1" s="55">
      <c r="A98" s="92" t="n"/>
      <c r="B98" s="92" t="n"/>
      <c r="C98" s="93" t="n"/>
      <c r="D98" s="93" t="n"/>
      <c r="E98" s="93" t="n"/>
      <c r="F98" s="92" t="n"/>
      <c r="G98" s="93" t="n"/>
      <c r="H98" s="92" t="n"/>
      <c r="I98" s="93" t="n"/>
      <c r="J98" s="92" t="n"/>
      <c r="K98" s="98">
        <f>IF(COUNT(F98,H98,J98)=3,F98*H98*J98,"")</f>
        <v/>
      </c>
      <c r="L98" s="106">
        <f>IF(K98="","",IF(OR(F98&gt;=9,K98&gt;=100,AND(F98&gt;=7,J98&gt;=7)),"ACTION REQUIRED","Monitor"))</f>
        <v/>
      </c>
      <c r="M98" s="107" t="n"/>
      <c r="N98" s="108" t="n"/>
      <c r="O98" s="107" t="n"/>
      <c r="P98" s="107" t="n"/>
      <c r="Q98" s="107" t="n"/>
      <c r="R98" s="98">
        <f>IF(COUNT(O98,P98,Q98)=3,O98*P98*Q98,"")</f>
        <v/>
      </c>
      <c r="S98" s="109">
        <f>IF(AND(O98&lt;&gt;"",F98&lt;&gt;"",O98&lt;&gt;F98),"SEVERITY CHANGED","")</f>
        <v/>
      </c>
    </row>
    <row r="99" ht="15" customHeight="1" s="55">
      <c r="A99" s="92" t="n"/>
      <c r="B99" s="92" t="n"/>
      <c r="C99" s="93" t="n"/>
      <c r="D99" s="93" t="n"/>
      <c r="E99" s="93" t="n"/>
      <c r="F99" s="92" t="n"/>
      <c r="G99" s="93" t="n"/>
      <c r="H99" s="92" t="n"/>
      <c r="I99" s="93" t="n"/>
      <c r="J99" s="92" t="n"/>
      <c r="K99" s="98">
        <f>IF(COUNT(F99,H99,J99)=3,F99*H99*J99,"")</f>
        <v/>
      </c>
      <c r="L99" s="106">
        <f>IF(K99="","",IF(OR(F99&gt;=9,K99&gt;=100,AND(F99&gt;=7,J99&gt;=7)),"ACTION REQUIRED","Monitor"))</f>
        <v/>
      </c>
      <c r="M99" s="107" t="n"/>
      <c r="N99" s="108" t="n"/>
      <c r="O99" s="107" t="n"/>
      <c r="P99" s="107" t="n"/>
      <c r="Q99" s="107" t="n"/>
      <c r="R99" s="98">
        <f>IF(COUNT(O99,P99,Q99)=3,O99*P99*Q99,"")</f>
        <v/>
      </c>
      <c r="S99" s="109">
        <f>IF(AND(O99&lt;&gt;"",F99&lt;&gt;"",O99&lt;&gt;F99),"SEVERITY CHANGED","")</f>
        <v/>
      </c>
    </row>
    <row r="100" ht="15" customHeight="1" s="55">
      <c r="A100" s="92" t="n"/>
      <c r="B100" s="92" t="n"/>
      <c r="C100" s="93" t="n"/>
      <c r="D100" s="93" t="n"/>
      <c r="E100" s="93" t="n"/>
      <c r="F100" s="92" t="n"/>
      <c r="G100" s="93" t="n"/>
      <c r="H100" s="92" t="n"/>
      <c r="I100" s="93" t="n"/>
      <c r="J100" s="92" t="n"/>
      <c r="K100" s="98">
        <f>IF(COUNT(F100,H100,J100)=3,F100*H100*J100,"")</f>
        <v/>
      </c>
      <c r="L100" s="106">
        <f>IF(K100="","",IF(OR(F100&gt;=9,K100&gt;=100,AND(F100&gt;=7,J100&gt;=7)),"ACTION REQUIRED","Monitor"))</f>
        <v/>
      </c>
      <c r="M100" s="107" t="n"/>
      <c r="N100" s="108" t="n"/>
      <c r="O100" s="107" t="n"/>
      <c r="P100" s="107" t="n"/>
      <c r="Q100" s="107" t="n"/>
      <c r="R100" s="98">
        <f>IF(COUNT(O100,P100,Q100)=3,O100*P100*Q100,"")</f>
        <v/>
      </c>
      <c r="S100" s="109">
        <f>IF(AND(O100&lt;&gt;"",F100&lt;&gt;"",O100&lt;&gt;F100),"SEVERITY CHANGED","")</f>
        <v/>
      </c>
    </row>
    <row r="101" ht="15" customHeight="1" s="55">
      <c r="A101" s="92" t="n"/>
      <c r="B101" s="92" t="n"/>
      <c r="C101" s="93" t="n"/>
      <c r="D101" s="93" t="n"/>
      <c r="E101" s="93" t="n"/>
      <c r="F101" s="92" t="n"/>
      <c r="G101" s="93" t="n"/>
      <c r="H101" s="92" t="n"/>
      <c r="I101" s="93" t="n"/>
      <c r="J101" s="92" t="n"/>
      <c r="K101" s="98">
        <f>IF(COUNT(F101,H101,J101)=3,F101*H101*J101,"")</f>
        <v/>
      </c>
      <c r="L101" s="106">
        <f>IF(K101="","",IF(OR(F101&gt;=9,K101&gt;=100,AND(F101&gt;=7,J101&gt;=7)),"ACTION REQUIRED","Monitor"))</f>
        <v/>
      </c>
      <c r="M101" s="107" t="n"/>
      <c r="N101" s="108" t="n"/>
      <c r="O101" s="107" t="n"/>
      <c r="P101" s="107" t="n"/>
      <c r="Q101" s="107" t="n"/>
      <c r="R101" s="98">
        <f>IF(COUNT(O101,P101,Q101)=3,O101*P101*Q101,"")</f>
        <v/>
      </c>
      <c r="S101" s="109">
        <f>IF(AND(O101&lt;&gt;"",F101&lt;&gt;"",O101&lt;&gt;F101),"SEVERITY CHANGED","")</f>
        <v/>
      </c>
    </row>
    <row r="102" ht="15" customHeight="1" s="55">
      <c r="A102" s="92" t="n"/>
      <c r="B102" s="92" t="n"/>
      <c r="C102" s="93" t="n"/>
      <c r="D102" s="93" t="n"/>
      <c r="E102" s="93" t="n"/>
      <c r="F102" s="92" t="n"/>
      <c r="G102" s="93" t="n"/>
      <c r="H102" s="92" t="n"/>
      <c r="I102" s="93" t="n"/>
      <c r="J102" s="92" t="n"/>
      <c r="K102" s="98">
        <f>IF(COUNT(F102,H102,J102)=3,F102*H102*J102,"")</f>
        <v/>
      </c>
      <c r="L102" s="106">
        <f>IF(K102="","",IF(OR(F102&gt;=9,K102&gt;=100,AND(F102&gt;=7,J102&gt;=7)),"ACTION REQUIRED","Monitor"))</f>
        <v/>
      </c>
      <c r="M102" s="107" t="n"/>
      <c r="N102" s="108" t="n"/>
      <c r="O102" s="107" t="n"/>
      <c r="P102" s="107" t="n"/>
      <c r="Q102" s="107" t="n"/>
      <c r="R102" s="98">
        <f>IF(COUNT(O102,P102,Q102)=3,O102*P102*Q102,"")</f>
        <v/>
      </c>
      <c r="S102" s="109">
        <f>IF(AND(O102&lt;&gt;"",F102&lt;&gt;"",O102&lt;&gt;F102),"SEVERITY CHANGED","")</f>
        <v/>
      </c>
    </row>
    <row r="103" ht="15" customHeight="1" s="55">
      <c r="A103" s="92" t="n"/>
      <c r="B103" s="92" t="n"/>
      <c r="C103" s="93" t="n"/>
      <c r="D103" s="93" t="n"/>
      <c r="E103" s="93" t="n"/>
      <c r="F103" s="92" t="n"/>
      <c r="G103" s="93" t="n"/>
      <c r="H103" s="92" t="n"/>
      <c r="I103" s="93" t="n"/>
      <c r="J103" s="92" t="n"/>
      <c r="K103" s="98">
        <f>IF(COUNT(F103,H103,J103)=3,F103*H103*J103,"")</f>
        <v/>
      </c>
      <c r="L103" s="106">
        <f>IF(K103="","",IF(OR(F103&gt;=9,K103&gt;=100,AND(F103&gt;=7,J103&gt;=7)),"ACTION REQUIRED","Monitor"))</f>
        <v/>
      </c>
      <c r="M103" s="107" t="n"/>
      <c r="N103" s="108" t="n"/>
      <c r="O103" s="107" t="n"/>
      <c r="P103" s="107" t="n"/>
      <c r="Q103" s="107" t="n"/>
      <c r="R103" s="98">
        <f>IF(COUNT(O103,P103,Q103)=3,O103*P103*Q103,"")</f>
        <v/>
      </c>
      <c r="S103" s="109">
        <f>IF(AND(O103&lt;&gt;"",F103&lt;&gt;"",O103&lt;&gt;F103),"SEVERITY CHANGED","")</f>
        <v/>
      </c>
    </row>
    <row r="104" ht="15" customHeight="1" s="55">
      <c r="A104" s="92" t="n"/>
      <c r="B104" s="92" t="n"/>
      <c r="C104" s="93" t="n"/>
      <c r="D104" s="93" t="n"/>
      <c r="E104" s="93" t="n"/>
      <c r="F104" s="92" t="n"/>
      <c r="G104" s="93" t="n"/>
      <c r="H104" s="92" t="n"/>
      <c r="I104" s="93" t="n"/>
      <c r="J104" s="92" t="n"/>
      <c r="K104" s="98">
        <f>IF(COUNT(F104,H104,J104)=3,F104*H104*J104,"")</f>
        <v/>
      </c>
      <c r="L104" s="106">
        <f>IF(K104="","",IF(OR(F104&gt;=9,K104&gt;=100,AND(F104&gt;=7,J104&gt;=7)),"ACTION REQUIRED","Monitor"))</f>
        <v/>
      </c>
      <c r="M104" s="107" t="n"/>
      <c r="N104" s="108" t="n"/>
      <c r="O104" s="107" t="n"/>
      <c r="P104" s="107" t="n"/>
      <c r="Q104" s="107" t="n"/>
      <c r="R104" s="98">
        <f>IF(COUNT(O104,P104,Q104)=3,O104*P104*Q104,"")</f>
        <v/>
      </c>
      <c r="S104" s="109">
        <f>IF(AND(O104&lt;&gt;"",F104&lt;&gt;"",O104&lt;&gt;F104),"SEVERITY CHANGED","")</f>
        <v/>
      </c>
    </row>
    <row r="105" ht="15" customHeight="1" s="55">
      <c r="A105" s="92" t="n"/>
      <c r="B105" s="92" t="n"/>
      <c r="C105" s="93" t="n"/>
      <c r="D105" s="93" t="n"/>
      <c r="E105" s="93" t="n"/>
      <c r="F105" s="92" t="n"/>
      <c r="G105" s="93" t="n"/>
      <c r="H105" s="92" t="n"/>
      <c r="I105" s="93" t="n"/>
      <c r="J105" s="92" t="n"/>
      <c r="K105" s="98">
        <f>IF(COUNT(F105,H105,J105)=3,F105*H105*J105,"")</f>
        <v/>
      </c>
      <c r="L105" s="106">
        <f>IF(K105="","",IF(OR(F105&gt;=9,K105&gt;=100,AND(F105&gt;=7,J105&gt;=7)),"ACTION REQUIRED","Monitor"))</f>
        <v/>
      </c>
      <c r="M105" s="107" t="n"/>
      <c r="N105" s="108" t="n"/>
      <c r="O105" s="107" t="n"/>
      <c r="P105" s="107" t="n"/>
      <c r="Q105" s="107" t="n"/>
      <c r="R105" s="98">
        <f>IF(COUNT(O105,P105,Q105)=3,O105*P105*Q105,"")</f>
        <v/>
      </c>
      <c r="S105" s="109">
        <f>IF(AND(O105&lt;&gt;"",F105&lt;&gt;"",O105&lt;&gt;F105),"SEVERITY CHANGED","")</f>
        <v/>
      </c>
    </row>
    <row r="106" ht="15" customHeight="1" s="55">
      <c r="A106" s="92" t="n"/>
      <c r="B106" s="92" t="n"/>
      <c r="C106" s="93" t="n"/>
      <c r="D106" s="93" t="n"/>
      <c r="E106" s="93" t="n"/>
      <c r="F106" s="92" t="n"/>
      <c r="G106" s="93" t="n"/>
      <c r="H106" s="92" t="n"/>
      <c r="I106" s="93" t="n"/>
      <c r="J106" s="92" t="n"/>
      <c r="K106" s="98">
        <f>IF(COUNT(F106,H106,J106)=3,F106*H106*J106,"")</f>
        <v/>
      </c>
      <c r="L106" s="106">
        <f>IF(K106="","",IF(OR(F106&gt;=9,K106&gt;=100,AND(F106&gt;=7,J106&gt;=7)),"ACTION REQUIRED","Monitor"))</f>
        <v/>
      </c>
      <c r="M106" s="107" t="n"/>
      <c r="N106" s="108" t="n"/>
      <c r="O106" s="107" t="n"/>
      <c r="P106" s="107" t="n"/>
      <c r="Q106" s="107" t="n"/>
      <c r="R106" s="98">
        <f>IF(COUNT(O106,P106,Q106)=3,O106*P106*Q106,"")</f>
        <v/>
      </c>
      <c r="S106" s="109">
        <f>IF(AND(O106&lt;&gt;"",F106&lt;&gt;"",O106&lt;&gt;F106),"SEVERITY CHANGED","")</f>
        <v/>
      </c>
    </row>
    <row r="107" ht="15" customHeight="1" s="55">
      <c r="A107" s="92" t="n"/>
      <c r="B107" s="92" t="n"/>
      <c r="C107" s="93" t="n"/>
      <c r="D107" s="93" t="n"/>
      <c r="E107" s="93" t="n"/>
      <c r="F107" s="92" t="n"/>
      <c r="G107" s="93" t="n"/>
      <c r="H107" s="92" t="n"/>
      <c r="I107" s="93" t="n"/>
      <c r="J107" s="92" t="n"/>
      <c r="K107" s="98">
        <f>IF(COUNT(F107,H107,J107)=3,F107*H107*J107,"")</f>
        <v/>
      </c>
      <c r="L107" s="106">
        <f>IF(K107="","",IF(OR(F107&gt;=9,K107&gt;=100,AND(F107&gt;=7,J107&gt;=7)),"ACTION REQUIRED","Monitor"))</f>
        <v/>
      </c>
      <c r="M107" s="107" t="n"/>
      <c r="N107" s="108" t="n"/>
      <c r="O107" s="107" t="n"/>
      <c r="P107" s="107" t="n"/>
      <c r="Q107" s="107" t="n"/>
      <c r="R107" s="98">
        <f>IF(COUNT(O107,P107,Q107)=3,O107*P107*Q107,"")</f>
        <v/>
      </c>
      <c r="S107" s="109">
        <f>IF(AND(O107&lt;&gt;"",F107&lt;&gt;"",O107&lt;&gt;F107),"SEVERITY CHANGED","")</f>
        <v/>
      </c>
    </row>
    <row r="108" ht="15" customHeight="1" s="55">
      <c r="A108" s="92" t="n"/>
      <c r="B108" s="92" t="n"/>
      <c r="C108" s="93" t="n"/>
      <c r="D108" s="93" t="n"/>
      <c r="E108" s="93" t="n"/>
      <c r="F108" s="92" t="n"/>
      <c r="G108" s="93" t="n"/>
      <c r="H108" s="92" t="n"/>
      <c r="I108" s="93" t="n"/>
      <c r="J108" s="92" t="n"/>
      <c r="K108" s="98">
        <f>IF(COUNT(F108,H108,J108)=3,F108*H108*J108,"")</f>
        <v/>
      </c>
      <c r="L108" s="106">
        <f>IF(K108="","",IF(OR(F108&gt;=9,K108&gt;=100,AND(F108&gt;=7,J108&gt;=7)),"ACTION REQUIRED","Monitor"))</f>
        <v/>
      </c>
      <c r="M108" s="107" t="n"/>
      <c r="N108" s="108" t="n"/>
      <c r="O108" s="107" t="n"/>
      <c r="P108" s="107" t="n"/>
      <c r="Q108" s="107" t="n"/>
      <c r="R108" s="98">
        <f>IF(COUNT(O108,P108,Q108)=3,O108*P108*Q108,"")</f>
        <v/>
      </c>
      <c r="S108" s="109">
        <f>IF(AND(O108&lt;&gt;"",F108&lt;&gt;"",O108&lt;&gt;F108),"SEVERITY CHANGED","")</f>
        <v/>
      </c>
    </row>
    <row r="109" ht="15" customHeight="1" s="55">
      <c r="A109" s="92" t="n"/>
      <c r="B109" s="92" t="n"/>
      <c r="C109" s="93" t="n"/>
      <c r="D109" s="93" t="n"/>
      <c r="E109" s="93" t="n"/>
      <c r="F109" s="92" t="n"/>
      <c r="G109" s="93" t="n"/>
      <c r="H109" s="92" t="n"/>
      <c r="I109" s="93" t="n"/>
      <c r="J109" s="92" t="n"/>
      <c r="K109" s="98">
        <f>IF(COUNT(F109,H109,J109)=3,F109*H109*J109,"")</f>
        <v/>
      </c>
      <c r="L109" s="106">
        <f>IF(K109="","",IF(OR(F109&gt;=9,K109&gt;=100,AND(F109&gt;=7,J109&gt;=7)),"ACTION REQUIRED","Monitor"))</f>
        <v/>
      </c>
      <c r="M109" s="107" t="n"/>
      <c r="N109" s="108" t="n"/>
      <c r="O109" s="107" t="n"/>
      <c r="P109" s="107" t="n"/>
      <c r="Q109" s="107" t="n"/>
      <c r="R109" s="98">
        <f>IF(COUNT(O109,P109,Q109)=3,O109*P109*Q109,"")</f>
        <v/>
      </c>
      <c r="S109" s="109">
        <f>IF(AND(O109&lt;&gt;"",F109&lt;&gt;"",O109&lt;&gt;F109),"SEVERITY CHANGED","")</f>
        <v/>
      </c>
    </row>
    <row r="110" ht="15" customHeight="1" s="55">
      <c r="A110" s="92" t="n"/>
      <c r="B110" s="92" t="n"/>
      <c r="C110" s="93" t="n"/>
      <c r="D110" s="93" t="n"/>
      <c r="E110" s="93" t="n"/>
      <c r="F110" s="92" t="n"/>
      <c r="G110" s="93" t="n"/>
      <c r="H110" s="92" t="n"/>
      <c r="I110" s="93" t="n"/>
      <c r="J110" s="92" t="n"/>
      <c r="K110" s="98">
        <f>IF(COUNT(F110,H110,J110)=3,F110*H110*J110,"")</f>
        <v/>
      </c>
      <c r="L110" s="106">
        <f>IF(K110="","",IF(OR(F110&gt;=9,K110&gt;=100,AND(F110&gt;=7,J110&gt;=7)),"ACTION REQUIRED","Monitor"))</f>
        <v/>
      </c>
      <c r="M110" s="107" t="n"/>
      <c r="N110" s="108" t="n"/>
      <c r="O110" s="107" t="n"/>
      <c r="P110" s="107" t="n"/>
      <c r="Q110" s="107" t="n"/>
      <c r="R110" s="98">
        <f>IF(COUNT(O110,P110,Q110)=3,O110*P110*Q110,"")</f>
        <v/>
      </c>
      <c r="S110" s="109">
        <f>IF(AND(O110&lt;&gt;"",F110&lt;&gt;"",O110&lt;&gt;F110),"SEVERITY CHANGED","")</f>
        <v/>
      </c>
    </row>
    <row r="111" ht="15" customHeight="1" s="55">
      <c r="A111" s="92" t="n"/>
      <c r="B111" s="92" t="n"/>
      <c r="C111" s="93" t="n"/>
      <c r="D111" s="93" t="n"/>
      <c r="E111" s="93" t="n"/>
      <c r="F111" s="92" t="n"/>
      <c r="G111" s="93" t="n"/>
      <c r="H111" s="92" t="n"/>
      <c r="I111" s="93" t="n"/>
      <c r="J111" s="92" t="n"/>
      <c r="K111" s="98">
        <f>IF(COUNT(F111,H111,J111)=3,F111*H111*J111,"")</f>
        <v/>
      </c>
      <c r="L111" s="106">
        <f>IF(K111="","",IF(OR(F111&gt;=9,K111&gt;=100,AND(F111&gt;=7,J111&gt;=7)),"ACTION REQUIRED","Monitor"))</f>
        <v/>
      </c>
      <c r="M111" s="107" t="n"/>
      <c r="N111" s="108" t="n"/>
      <c r="O111" s="107" t="n"/>
      <c r="P111" s="107" t="n"/>
      <c r="Q111" s="107" t="n"/>
      <c r="R111" s="98">
        <f>IF(COUNT(O111,P111,Q111)=3,O111*P111*Q111,"")</f>
        <v/>
      </c>
      <c r="S111" s="109">
        <f>IF(AND(O111&lt;&gt;"",F111&lt;&gt;"",O111&lt;&gt;F111),"SEVERITY CHANGED","")</f>
        <v/>
      </c>
    </row>
    <row r="112" ht="15" customHeight="1" s="55">
      <c r="A112" s="92" t="n"/>
      <c r="B112" s="92" t="n"/>
      <c r="C112" s="93" t="n"/>
      <c r="D112" s="93" t="n"/>
      <c r="E112" s="93" t="n"/>
      <c r="F112" s="92" t="n"/>
      <c r="G112" s="93" t="n"/>
      <c r="H112" s="92" t="n"/>
      <c r="I112" s="93" t="n"/>
      <c r="J112" s="92" t="n"/>
      <c r="K112" s="98">
        <f>IF(COUNT(F112,H112,J112)=3,F112*H112*J112,"")</f>
        <v/>
      </c>
      <c r="L112" s="106">
        <f>IF(K112="","",IF(OR(F112&gt;=9,K112&gt;=100,AND(F112&gt;=7,J112&gt;=7)),"ACTION REQUIRED","Monitor"))</f>
        <v/>
      </c>
      <c r="M112" s="107" t="n"/>
      <c r="N112" s="108" t="n"/>
      <c r="O112" s="107" t="n"/>
      <c r="P112" s="107" t="n"/>
      <c r="Q112" s="107" t="n"/>
      <c r="R112" s="98">
        <f>IF(COUNT(O112,P112,Q112)=3,O112*P112*Q112,"")</f>
        <v/>
      </c>
      <c r="S112" s="109">
        <f>IF(AND(O112&lt;&gt;"",F112&lt;&gt;"",O112&lt;&gt;F112),"SEVERITY CHANGED","")</f>
        <v/>
      </c>
    </row>
    <row r="113" ht="15" customHeight="1" s="55">
      <c r="A113" s="92" t="n"/>
      <c r="B113" s="92" t="n"/>
      <c r="C113" s="93" t="n"/>
      <c r="D113" s="93" t="n"/>
      <c r="E113" s="93" t="n"/>
      <c r="F113" s="92" t="n"/>
      <c r="G113" s="93" t="n"/>
      <c r="H113" s="92" t="n"/>
      <c r="I113" s="93" t="n"/>
      <c r="J113" s="92" t="n"/>
      <c r="K113" s="98">
        <f>IF(COUNT(F113,H113,J113)=3,F113*H113*J113,"")</f>
        <v/>
      </c>
      <c r="L113" s="106">
        <f>IF(K113="","",IF(OR(F113&gt;=9,K113&gt;=100,AND(F113&gt;=7,J113&gt;=7)),"ACTION REQUIRED","Monitor"))</f>
        <v/>
      </c>
      <c r="M113" s="107" t="n"/>
      <c r="N113" s="108" t="n"/>
      <c r="O113" s="107" t="n"/>
      <c r="P113" s="107" t="n"/>
      <c r="Q113" s="107" t="n"/>
      <c r="R113" s="98">
        <f>IF(COUNT(O113,P113,Q113)=3,O113*P113*Q113,"")</f>
        <v/>
      </c>
      <c r="S113" s="109">
        <f>IF(AND(O113&lt;&gt;"",F113&lt;&gt;"",O113&lt;&gt;F113),"SEVERITY CHANGED","")</f>
        <v/>
      </c>
    </row>
    <row r="114" ht="15" customHeight="1" s="55">
      <c r="A114" s="92" t="n"/>
      <c r="B114" s="92" t="n"/>
      <c r="C114" s="93" t="n"/>
      <c r="D114" s="93" t="n"/>
      <c r="E114" s="93" t="n"/>
      <c r="F114" s="92" t="n"/>
      <c r="G114" s="93" t="n"/>
      <c r="H114" s="92" t="n"/>
      <c r="I114" s="93" t="n"/>
      <c r="J114" s="92" t="n"/>
      <c r="K114" s="98">
        <f>IF(COUNT(F114,H114,J114)=3,F114*H114*J114,"")</f>
        <v/>
      </c>
      <c r="L114" s="106">
        <f>IF(K114="","",IF(OR(F114&gt;=9,K114&gt;=100,AND(F114&gt;=7,J114&gt;=7)),"ACTION REQUIRED","Monitor"))</f>
        <v/>
      </c>
      <c r="M114" s="107" t="n"/>
      <c r="N114" s="108" t="n"/>
      <c r="O114" s="107" t="n"/>
      <c r="P114" s="107" t="n"/>
      <c r="Q114" s="107" t="n"/>
      <c r="R114" s="98">
        <f>IF(COUNT(O114,P114,Q114)=3,O114*P114*Q114,"")</f>
        <v/>
      </c>
      <c r="S114" s="109">
        <f>IF(AND(O114&lt;&gt;"",F114&lt;&gt;"",O114&lt;&gt;F114),"SEVERITY CHANGED","")</f>
        <v/>
      </c>
    </row>
    <row r="115" ht="15" customHeight="1" s="55">
      <c r="A115" s="92" t="n"/>
      <c r="B115" s="92" t="n"/>
      <c r="C115" s="93" t="n"/>
      <c r="D115" s="93" t="n"/>
      <c r="E115" s="93" t="n"/>
      <c r="F115" s="92" t="n"/>
      <c r="G115" s="93" t="n"/>
      <c r="H115" s="92" t="n"/>
      <c r="I115" s="93" t="n"/>
      <c r="J115" s="92" t="n"/>
      <c r="K115" s="98">
        <f>IF(COUNT(F115,H115,J115)=3,F115*H115*J115,"")</f>
        <v/>
      </c>
      <c r="L115" s="106">
        <f>IF(K115="","",IF(OR(F115&gt;=9,K115&gt;=100,AND(F115&gt;=7,J115&gt;=7)),"ACTION REQUIRED","Monitor"))</f>
        <v/>
      </c>
      <c r="M115" s="107" t="n"/>
      <c r="N115" s="108" t="n"/>
      <c r="O115" s="107" t="n"/>
      <c r="P115" s="107" t="n"/>
      <c r="Q115" s="107" t="n"/>
      <c r="R115" s="98">
        <f>IF(COUNT(O115,P115,Q115)=3,O115*P115*Q115,"")</f>
        <v/>
      </c>
      <c r="S115" s="109">
        <f>IF(AND(O115&lt;&gt;"",F115&lt;&gt;"",O115&lt;&gt;F115),"SEVERITY CHANGED","")</f>
        <v/>
      </c>
    </row>
    <row r="116" ht="15" customHeight="1" s="55">
      <c r="A116" s="92" t="n"/>
      <c r="B116" s="92" t="n"/>
      <c r="C116" s="93" t="n"/>
      <c r="D116" s="93" t="n"/>
      <c r="E116" s="93" t="n"/>
      <c r="F116" s="92" t="n"/>
      <c r="G116" s="93" t="n"/>
      <c r="H116" s="92" t="n"/>
      <c r="I116" s="93" t="n"/>
      <c r="J116" s="92" t="n"/>
      <c r="K116" s="98">
        <f>IF(COUNT(F116,H116,J116)=3,F116*H116*J116,"")</f>
        <v/>
      </c>
      <c r="L116" s="106">
        <f>IF(K116="","",IF(OR(F116&gt;=9,K116&gt;=100,AND(F116&gt;=7,J116&gt;=7)),"ACTION REQUIRED","Monitor"))</f>
        <v/>
      </c>
      <c r="M116" s="107" t="n"/>
      <c r="N116" s="108" t="n"/>
      <c r="O116" s="107" t="n"/>
      <c r="P116" s="107" t="n"/>
      <c r="Q116" s="107" t="n"/>
      <c r="R116" s="98">
        <f>IF(COUNT(O116,P116,Q116)=3,O116*P116*Q116,"")</f>
        <v/>
      </c>
      <c r="S116" s="109">
        <f>IF(AND(O116&lt;&gt;"",F116&lt;&gt;"",O116&lt;&gt;F116),"SEVERITY CHANGED","")</f>
        <v/>
      </c>
    </row>
    <row r="117" ht="15" customHeight="1" s="55">
      <c r="A117" s="92" t="n"/>
      <c r="B117" s="92" t="n"/>
      <c r="C117" s="93" t="n"/>
      <c r="D117" s="93" t="n"/>
      <c r="E117" s="93" t="n"/>
      <c r="F117" s="92" t="n"/>
      <c r="G117" s="93" t="n"/>
      <c r="H117" s="92" t="n"/>
      <c r="I117" s="93" t="n"/>
      <c r="J117" s="92" t="n"/>
      <c r="K117" s="98">
        <f>IF(COUNT(F117,H117,J117)=3,F117*H117*J117,"")</f>
        <v/>
      </c>
      <c r="L117" s="106">
        <f>IF(K117="","",IF(OR(F117&gt;=9,K117&gt;=100,AND(F117&gt;=7,J117&gt;=7)),"ACTION REQUIRED","Monitor"))</f>
        <v/>
      </c>
      <c r="M117" s="107" t="n"/>
      <c r="N117" s="108" t="n"/>
      <c r="O117" s="107" t="n"/>
      <c r="P117" s="107" t="n"/>
      <c r="Q117" s="107" t="n"/>
      <c r="R117" s="98">
        <f>IF(COUNT(O117,P117,Q117)=3,O117*P117*Q117,"")</f>
        <v/>
      </c>
      <c r="S117" s="109">
        <f>IF(AND(O117&lt;&gt;"",F117&lt;&gt;"",O117&lt;&gt;F117),"SEVERITY CHANGED","")</f>
        <v/>
      </c>
    </row>
    <row r="118" ht="15" customHeight="1" s="55">
      <c r="A118" s="92" t="n"/>
      <c r="B118" s="92" t="n"/>
      <c r="C118" s="93" t="n"/>
      <c r="D118" s="93" t="n"/>
      <c r="E118" s="93" t="n"/>
      <c r="F118" s="92" t="n"/>
      <c r="G118" s="93" t="n"/>
      <c r="H118" s="92" t="n"/>
      <c r="I118" s="93" t="n"/>
      <c r="J118" s="92" t="n"/>
      <c r="K118" s="98">
        <f>IF(COUNT(F118,H118,J118)=3,F118*H118*J118,"")</f>
        <v/>
      </c>
      <c r="L118" s="106">
        <f>IF(K118="","",IF(OR(F118&gt;=9,K118&gt;=100,AND(F118&gt;=7,J118&gt;=7)),"ACTION REQUIRED","Monitor"))</f>
        <v/>
      </c>
      <c r="M118" s="107" t="n"/>
      <c r="N118" s="108" t="n"/>
      <c r="O118" s="107" t="n"/>
      <c r="P118" s="107" t="n"/>
      <c r="Q118" s="107" t="n"/>
      <c r="R118" s="98">
        <f>IF(COUNT(O118,P118,Q118)=3,O118*P118*Q118,"")</f>
        <v/>
      </c>
      <c r="S118" s="109">
        <f>IF(AND(O118&lt;&gt;"",F118&lt;&gt;"",O118&lt;&gt;F118),"SEVERITY CHANGED","")</f>
        <v/>
      </c>
    </row>
    <row r="119" ht="15" customHeight="1" s="55">
      <c r="A119" s="92" t="n"/>
      <c r="B119" s="92" t="n"/>
      <c r="C119" s="93" t="n"/>
      <c r="D119" s="93" t="n"/>
      <c r="E119" s="93" t="n"/>
      <c r="F119" s="92" t="n"/>
      <c r="G119" s="93" t="n"/>
      <c r="H119" s="92" t="n"/>
      <c r="I119" s="93" t="n"/>
      <c r="J119" s="92" t="n"/>
      <c r="K119" s="98">
        <f>IF(COUNT(F119,H119,J119)=3,F119*H119*J119,"")</f>
        <v/>
      </c>
      <c r="L119" s="106">
        <f>IF(K119="","",IF(OR(F119&gt;=9,K119&gt;=100,AND(F119&gt;=7,J119&gt;=7)),"ACTION REQUIRED","Monitor"))</f>
        <v/>
      </c>
      <c r="M119" s="107" t="n"/>
      <c r="N119" s="108" t="n"/>
      <c r="O119" s="107" t="n"/>
      <c r="P119" s="107" t="n"/>
      <c r="Q119" s="107" t="n"/>
      <c r="R119" s="98">
        <f>IF(COUNT(O119,P119,Q119)=3,O119*P119*Q119,"")</f>
        <v/>
      </c>
      <c r="S119" s="109">
        <f>IF(AND(O119&lt;&gt;"",F119&lt;&gt;"",O119&lt;&gt;F119),"SEVERITY CHANGED","")</f>
        <v/>
      </c>
    </row>
    <row r="120" ht="15" customHeight="1" s="55">
      <c r="A120" s="92" t="n"/>
      <c r="B120" s="92" t="n"/>
      <c r="C120" s="93" t="n"/>
      <c r="D120" s="93" t="n"/>
      <c r="E120" s="93" t="n"/>
      <c r="F120" s="92" t="n"/>
      <c r="G120" s="93" t="n"/>
      <c r="H120" s="92" t="n"/>
      <c r="I120" s="93" t="n"/>
      <c r="J120" s="92" t="n"/>
      <c r="K120" s="98">
        <f>IF(COUNT(F120,H120,J120)=3,F120*H120*J120,"")</f>
        <v/>
      </c>
      <c r="L120" s="106">
        <f>IF(K120="","",IF(OR(F120&gt;=9,K120&gt;=100,AND(F120&gt;=7,J120&gt;=7)),"ACTION REQUIRED","Monitor"))</f>
        <v/>
      </c>
      <c r="M120" s="107" t="n"/>
      <c r="N120" s="108" t="n"/>
      <c r="O120" s="107" t="n"/>
      <c r="P120" s="107" t="n"/>
      <c r="Q120" s="107" t="n"/>
      <c r="R120" s="98">
        <f>IF(COUNT(O120,P120,Q120)=3,O120*P120*Q120,"")</f>
        <v/>
      </c>
      <c r="S120" s="109">
        <f>IF(AND(O120&lt;&gt;"",F120&lt;&gt;"",O120&lt;&gt;F120),"SEVERITY CHANGED","")</f>
        <v/>
      </c>
    </row>
    <row r="121" ht="15" customHeight="1" s="55">
      <c r="A121" s="92" t="n"/>
      <c r="B121" s="92" t="n"/>
      <c r="C121" s="93" t="n"/>
      <c r="D121" s="93" t="n"/>
      <c r="E121" s="93" t="n"/>
      <c r="F121" s="92" t="n"/>
      <c r="G121" s="93" t="n"/>
      <c r="H121" s="92" t="n"/>
      <c r="I121" s="93" t="n"/>
      <c r="J121" s="92" t="n"/>
      <c r="K121" s="98">
        <f>IF(COUNT(F121,H121,J121)=3,F121*H121*J121,"")</f>
        <v/>
      </c>
      <c r="L121" s="106">
        <f>IF(K121="","",IF(OR(F121&gt;=9,K121&gt;=100,AND(F121&gt;=7,J121&gt;=7)),"ACTION REQUIRED","Monitor"))</f>
        <v/>
      </c>
      <c r="M121" s="107" t="n"/>
      <c r="N121" s="108" t="n"/>
      <c r="O121" s="107" t="n"/>
      <c r="P121" s="107" t="n"/>
      <c r="Q121" s="107" t="n"/>
      <c r="R121" s="98">
        <f>IF(COUNT(O121,P121,Q121)=3,O121*P121*Q121,"")</f>
        <v/>
      </c>
      <c r="S121" s="109">
        <f>IF(AND(O121&lt;&gt;"",F121&lt;&gt;"",O121&lt;&gt;F121),"SEVERITY CHANGED","")</f>
        <v/>
      </c>
    </row>
    <row r="122" ht="15" customHeight="1" s="55">
      <c r="A122" s="92" t="n"/>
      <c r="B122" s="92" t="n"/>
      <c r="C122" s="93" t="n"/>
      <c r="D122" s="93" t="n"/>
      <c r="E122" s="93" t="n"/>
      <c r="F122" s="92" t="n"/>
      <c r="G122" s="93" t="n"/>
      <c r="H122" s="92" t="n"/>
      <c r="I122" s="93" t="n"/>
      <c r="J122" s="92" t="n"/>
      <c r="K122" s="98">
        <f>IF(COUNT(F122,H122,J122)=3,F122*H122*J122,"")</f>
        <v/>
      </c>
      <c r="L122" s="106">
        <f>IF(K122="","",IF(OR(F122&gt;=9,K122&gt;=100,AND(F122&gt;=7,J122&gt;=7)),"ACTION REQUIRED","Monitor"))</f>
        <v/>
      </c>
      <c r="M122" s="107" t="n"/>
      <c r="N122" s="108" t="n"/>
      <c r="O122" s="107" t="n"/>
      <c r="P122" s="107" t="n"/>
      <c r="Q122" s="107" t="n"/>
      <c r="R122" s="98">
        <f>IF(COUNT(O122,P122,Q122)=3,O122*P122*Q122,"")</f>
        <v/>
      </c>
      <c r="S122" s="109">
        <f>IF(AND(O122&lt;&gt;"",F122&lt;&gt;"",O122&lt;&gt;F122),"SEVERITY CHANGED","")</f>
        <v/>
      </c>
    </row>
    <row r="123" ht="15" customHeight="1" s="55">
      <c r="A123" s="92" t="n"/>
      <c r="B123" s="92" t="n"/>
      <c r="C123" s="93" t="n"/>
      <c r="D123" s="93" t="n"/>
      <c r="E123" s="93" t="n"/>
      <c r="F123" s="92" t="n"/>
      <c r="G123" s="93" t="n"/>
      <c r="H123" s="92" t="n"/>
      <c r="I123" s="93" t="n"/>
      <c r="J123" s="92" t="n"/>
      <c r="K123" s="98">
        <f>IF(COUNT(F123,H123,J123)=3,F123*H123*J123,"")</f>
        <v/>
      </c>
      <c r="L123" s="106">
        <f>IF(K123="","",IF(OR(F123&gt;=9,K123&gt;=100,AND(F123&gt;=7,J123&gt;=7)),"ACTION REQUIRED","Monitor"))</f>
        <v/>
      </c>
      <c r="M123" s="107" t="n"/>
      <c r="N123" s="108" t="n"/>
      <c r="O123" s="107" t="n"/>
      <c r="P123" s="107" t="n"/>
      <c r="Q123" s="107" t="n"/>
      <c r="R123" s="98">
        <f>IF(COUNT(O123,P123,Q123)=3,O123*P123*Q123,"")</f>
        <v/>
      </c>
      <c r="S123" s="109">
        <f>IF(AND(O123&lt;&gt;"",F123&lt;&gt;"",O123&lt;&gt;F123),"SEVERITY CHANGED","")</f>
        <v/>
      </c>
    </row>
    <row r="124" ht="15" customHeight="1" s="55">
      <c r="A124" s="92" t="n"/>
      <c r="B124" s="92" t="n"/>
      <c r="C124" s="93" t="n"/>
      <c r="D124" s="93" t="n"/>
      <c r="E124" s="93" t="n"/>
      <c r="F124" s="92" t="n"/>
      <c r="G124" s="93" t="n"/>
      <c r="H124" s="92" t="n"/>
      <c r="I124" s="93" t="n"/>
      <c r="J124" s="92" t="n"/>
      <c r="K124" s="98">
        <f>IF(COUNT(F124,H124,J124)=3,F124*H124*J124,"")</f>
        <v/>
      </c>
      <c r="L124" s="106">
        <f>IF(K124="","",IF(OR(F124&gt;=9,K124&gt;=100,AND(F124&gt;=7,J124&gt;=7)),"ACTION REQUIRED","Monitor"))</f>
        <v/>
      </c>
      <c r="M124" s="107" t="n"/>
      <c r="N124" s="108" t="n"/>
      <c r="O124" s="107" t="n"/>
      <c r="P124" s="107" t="n"/>
      <c r="Q124" s="107" t="n"/>
      <c r="R124" s="98">
        <f>IF(COUNT(O124,P124,Q124)=3,O124*P124*Q124,"")</f>
        <v/>
      </c>
      <c r="S124" s="109">
        <f>IF(AND(O124&lt;&gt;"",F124&lt;&gt;"",O124&lt;&gt;F124),"SEVERITY CHANGED","")</f>
        <v/>
      </c>
    </row>
    <row r="125" ht="15" customHeight="1" s="55">
      <c r="A125" s="92" t="n"/>
      <c r="B125" s="92" t="n"/>
      <c r="C125" s="93" t="n"/>
      <c r="D125" s="93" t="n"/>
      <c r="E125" s="93" t="n"/>
      <c r="F125" s="92" t="n"/>
      <c r="G125" s="93" t="n"/>
      <c r="H125" s="92" t="n"/>
      <c r="I125" s="93" t="n"/>
      <c r="J125" s="92" t="n"/>
      <c r="K125" s="98">
        <f>IF(COUNT(F125,H125,J125)=3,F125*H125*J125,"")</f>
        <v/>
      </c>
      <c r="L125" s="106">
        <f>IF(K125="","",IF(OR(F125&gt;=9,K125&gt;=100,AND(F125&gt;=7,J125&gt;=7)),"ACTION REQUIRED","Monitor"))</f>
        <v/>
      </c>
      <c r="M125" s="107" t="n"/>
      <c r="N125" s="108" t="n"/>
      <c r="O125" s="107" t="n"/>
      <c r="P125" s="107" t="n"/>
      <c r="Q125" s="107" t="n"/>
      <c r="R125" s="98">
        <f>IF(COUNT(O125,P125,Q125)=3,O125*P125*Q125,"")</f>
        <v/>
      </c>
      <c r="S125" s="109">
        <f>IF(AND(O125&lt;&gt;"",F125&lt;&gt;"",O125&lt;&gt;F125),"SEVERITY CHANGED","")</f>
        <v/>
      </c>
    </row>
    <row r="126" ht="15" customHeight="1" s="55">
      <c r="A126" s="92" t="n"/>
      <c r="B126" s="92" t="n"/>
      <c r="C126" s="93" t="n"/>
      <c r="D126" s="93" t="n"/>
      <c r="E126" s="93" t="n"/>
      <c r="F126" s="92" t="n"/>
      <c r="G126" s="93" t="n"/>
      <c r="H126" s="92" t="n"/>
      <c r="I126" s="93" t="n"/>
      <c r="J126" s="92" t="n"/>
      <c r="K126" s="98">
        <f>IF(COUNT(F126,H126,J126)=3,F126*H126*J126,"")</f>
        <v/>
      </c>
      <c r="L126" s="106">
        <f>IF(K126="","",IF(OR(F126&gt;=9,K126&gt;=100,AND(F126&gt;=7,J126&gt;=7)),"ACTION REQUIRED","Monitor"))</f>
        <v/>
      </c>
      <c r="M126" s="107" t="n"/>
      <c r="N126" s="108" t="n"/>
      <c r="O126" s="107" t="n"/>
      <c r="P126" s="107" t="n"/>
      <c r="Q126" s="107" t="n"/>
      <c r="R126" s="98">
        <f>IF(COUNT(O126,P126,Q126)=3,O126*P126*Q126,"")</f>
        <v/>
      </c>
      <c r="S126" s="109">
        <f>IF(AND(O126&lt;&gt;"",F126&lt;&gt;"",O126&lt;&gt;F126),"SEVERITY CHANGED","")</f>
        <v/>
      </c>
    </row>
    <row r="127" ht="15" customHeight="1" s="55">
      <c r="A127" s="92" t="n"/>
      <c r="B127" s="92" t="n"/>
      <c r="C127" s="93" t="n"/>
      <c r="D127" s="93" t="n"/>
      <c r="E127" s="93" t="n"/>
      <c r="F127" s="92" t="n"/>
      <c r="G127" s="93" t="n"/>
      <c r="H127" s="92" t="n"/>
      <c r="I127" s="93" t="n"/>
      <c r="J127" s="92" t="n"/>
      <c r="K127" s="98">
        <f>IF(COUNT(F127,H127,J127)=3,F127*H127*J127,"")</f>
        <v/>
      </c>
      <c r="L127" s="106">
        <f>IF(K127="","",IF(OR(F127&gt;=9,K127&gt;=100,AND(F127&gt;=7,J127&gt;=7)),"ACTION REQUIRED","Monitor"))</f>
        <v/>
      </c>
      <c r="M127" s="107" t="n"/>
      <c r="N127" s="108" t="n"/>
      <c r="O127" s="107" t="n"/>
      <c r="P127" s="107" t="n"/>
      <c r="Q127" s="107" t="n"/>
      <c r="R127" s="98">
        <f>IF(COUNT(O127,P127,Q127)=3,O127*P127*Q127,"")</f>
        <v/>
      </c>
      <c r="S127" s="109">
        <f>IF(AND(O127&lt;&gt;"",F127&lt;&gt;"",O127&lt;&gt;F127),"SEVERITY CHANGED","")</f>
        <v/>
      </c>
    </row>
    <row r="128" ht="15" customHeight="1" s="55">
      <c r="A128" s="92" t="n"/>
      <c r="B128" s="92" t="n"/>
      <c r="C128" s="93" t="n"/>
      <c r="D128" s="93" t="n"/>
      <c r="E128" s="93" t="n"/>
      <c r="F128" s="92" t="n"/>
      <c r="G128" s="93" t="n"/>
      <c r="H128" s="92" t="n"/>
      <c r="I128" s="93" t="n"/>
      <c r="J128" s="92" t="n"/>
      <c r="K128" s="98">
        <f>IF(COUNT(F128,H128,J128)=3,F128*H128*J128,"")</f>
        <v/>
      </c>
      <c r="L128" s="106">
        <f>IF(K128="","",IF(OR(F128&gt;=9,K128&gt;=100,AND(F128&gt;=7,J128&gt;=7)),"ACTION REQUIRED","Monitor"))</f>
        <v/>
      </c>
      <c r="M128" s="107" t="n"/>
      <c r="N128" s="108" t="n"/>
      <c r="O128" s="107" t="n"/>
      <c r="P128" s="107" t="n"/>
      <c r="Q128" s="107" t="n"/>
      <c r="R128" s="98">
        <f>IF(COUNT(O128,P128,Q128)=3,O128*P128*Q128,"")</f>
        <v/>
      </c>
      <c r="S128" s="109">
        <f>IF(AND(O128&lt;&gt;"",F128&lt;&gt;"",O128&lt;&gt;F128),"SEVERITY CHANGED","")</f>
        <v/>
      </c>
    </row>
    <row r="129" ht="15" customHeight="1" s="55">
      <c r="A129" s="92" t="n"/>
      <c r="B129" s="92" t="n"/>
      <c r="C129" s="93" t="n"/>
      <c r="D129" s="93" t="n"/>
      <c r="E129" s="93" t="n"/>
      <c r="F129" s="92" t="n"/>
      <c r="G129" s="93" t="n"/>
      <c r="H129" s="92" t="n"/>
      <c r="I129" s="93" t="n"/>
      <c r="J129" s="92" t="n"/>
      <c r="K129" s="98">
        <f>IF(COUNT(F129,H129,J129)=3,F129*H129*J129,"")</f>
        <v/>
      </c>
      <c r="L129" s="106">
        <f>IF(K129="","",IF(OR(F129&gt;=9,K129&gt;=100,AND(F129&gt;=7,J129&gt;=7)),"ACTION REQUIRED","Monitor"))</f>
        <v/>
      </c>
      <c r="M129" s="107" t="n"/>
      <c r="N129" s="108" t="n"/>
      <c r="O129" s="107" t="n"/>
      <c r="P129" s="107" t="n"/>
      <c r="Q129" s="107" t="n"/>
      <c r="R129" s="98">
        <f>IF(COUNT(O129,P129,Q129)=3,O129*P129*Q129,"")</f>
        <v/>
      </c>
      <c r="S129" s="109">
        <f>IF(AND(O129&lt;&gt;"",F129&lt;&gt;"",O129&lt;&gt;F129),"SEVERITY CHANGED","")</f>
        <v/>
      </c>
    </row>
    <row r="130" ht="15" customHeight="1" s="55">
      <c r="A130" s="92" t="n"/>
      <c r="B130" s="92" t="n"/>
      <c r="C130" s="93" t="n"/>
      <c r="D130" s="93" t="n"/>
      <c r="E130" s="93" t="n"/>
      <c r="F130" s="92" t="n"/>
      <c r="G130" s="93" t="n"/>
      <c r="H130" s="92" t="n"/>
      <c r="I130" s="93" t="n"/>
      <c r="J130" s="92" t="n"/>
      <c r="K130" s="98">
        <f>IF(COUNT(F130,H130,J130)=3,F130*H130*J130,"")</f>
        <v/>
      </c>
      <c r="L130" s="106">
        <f>IF(K130="","",IF(OR(F130&gt;=9,K130&gt;=100,AND(F130&gt;=7,J130&gt;=7)),"ACTION REQUIRED","Monitor"))</f>
        <v/>
      </c>
      <c r="M130" s="107" t="n"/>
      <c r="N130" s="108" t="n"/>
      <c r="O130" s="107" t="n"/>
      <c r="P130" s="107" t="n"/>
      <c r="Q130" s="107" t="n"/>
      <c r="R130" s="98">
        <f>IF(COUNT(O130,P130,Q130)=3,O130*P130*Q130,"")</f>
        <v/>
      </c>
      <c r="S130" s="109">
        <f>IF(AND(O130&lt;&gt;"",F130&lt;&gt;"",O130&lt;&gt;F130),"SEVERITY CHANGED","")</f>
        <v/>
      </c>
    </row>
    <row r="131" ht="15" customHeight="1" s="55">
      <c r="A131" s="92" t="n"/>
      <c r="B131" s="92" t="n"/>
      <c r="C131" s="93" t="n"/>
      <c r="D131" s="93" t="n"/>
      <c r="E131" s="93" t="n"/>
      <c r="F131" s="92" t="n"/>
      <c r="G131" s="93" t="n"/>
      <c r="H131" s="92" t="n"/>
      <c r="I131" s="93" t="n"/>
      <c r="J131" s="92" t="n"/>
      <c r="K131" s="98">
        <f>IF(COUNT(F131,H131,J131)=3,F131*H131*J131,"")</f>
        <v/>
      </c>
      <c r="L131" s="106">
        <f>IF(K131="","",IF(OR(F131&gt;=9,K131&gt;=100,AND(F131&gt;=7,J131&gt;=7)),"ACTION REQUIRED","Monitor"))</f>
        <v/>
      </c>
      <c r="M131" s="107" t="n"/>
      <c r="N131" s="108" t="n"/>
      <c r="O131" s="107" t="n"/>
      <c r="P131" s="107" t="n"/>
      <c r="Q131" s="107" t="n"/>
      <c r="R131" s="98">
        <f>IF(COUNT(O131,P131,Q131)=3,O131*P131*Q131,"")</f>
        <v/>
      </c>
      <c r="S131" s="109">
        <f>IF(AND(O131&lt;&gt;"",F131&lt;&gt;"",O131&lt;&gt;F131),"SEVERITY CHANGED","")</f>
        <v/>
      </c>
    </row>
    <row r="132" ht="15" customHeight="1" s="55">
      <c r="A132" s="92" t="n"/>
      <c r="B132" s="92" t="n"/>
      <c r="C132" s="93" t="n"/>
      <c r="D132" s="93" t="n"/>
      <c r="E132" s="93" t="n"/>
      <c r="F132" s="92" t="n"/>
      <c r="G132" s="93" t="n"/>
      <c r="H132" s="92" t="n"/>
      <c r="I132" s="93" t="n"/>
      <c r="J132" s="92" t="n"/>
      <c r="K132" s="98">
        <f>IF(COUNT(F132,H132,J132)=3,F132*H132*J132,"")</f>
        <v/>
      </c>
      <c r="L132" s="106">
        <f>IF(K132="","",IF(OR(F132&gt;=9,K132&gt;=100,AND(F132&gt;=7,J132&gt;=7)),"ACTION REQUIRED","Monitor"))</f>
        <v/>
      </c>
      <c r="M132" s="107" t="n"/>
      <c r="N132" s="108" t="n"/>
      <c r="O132" s="107" t="n"/>
      <c r="P132" s="107" t="n"/>
      <c r="Q132" s="107" t="n"/>
      <c r="R132" s="98">
        <f>IF(COUNT(O132,P132,Q132)=3,O132*P132*Q132,"")</f>
        <v/>
      </c>
      <c r="S132" s="109">
        <f>IF(AND(O132&lt;&gt;"",F132&lt;&gt;"",O132&lt;&gt;F132),"SEVERITY CHANGED","")</f>
        <v/>
      </c>
    </row>
    <row r="133" ht="15" customHeight="1" s="55">
      <c r="A133" s="92" t="n"/>
      <c r="B133" s="92" t="n"/>
      <c r="C133" s="93" t="n"/>
      <c r="D133" s="93" t="n"/>
      <c r="E133" s="93" t="n"/>
      <c r="F133" s="92" t="n"/>
      <c r="G133" s="93" t="n"/>
      <c r="H133" s="92" t="n"/>
      <c r="I133" s="93" t="n"/>
      <c r="J133" s="92" t="n"/>
      <c r="K133" s="98">
        <f>IF(COUNT(F133,H133,J133)=3,F133*H133*J133,"")</f>
        <v/>
      </c>
      <c r="L133" s="106">
        <f>IF(K133="","",IF(OR(F133&gt;=9,K133&gt;=100,AND(F133&gt;=7,J133&gt;=7)),"ACTION REQUIRED","Monitor"))</f>
        <v/>
      </c>
      <c r="M133" s="107" t="n"/>
      <c r="N133" s="108" t="n"/>
      <c r="O133" s="107" t="n"/>
      <c r="P133" s="107" t="n"/>
      <c r="Q133" s="107" t="n"/>
      <c r="R133" s="98">
        <f>IF(COUNT(O133,P133,Q133)=3,O133*P133*Q133,"")</f>
        <v/>
      </c>
      <c r="S133" s="109">
        <f>IF(AND(O133&lt;&gt;"",F133&lt;&gt;"",O133&lt;&gt;F133),"SEVERITY CHANGED","")</f>
        <v/>
      </c>
    </row>
    <row r="134" ht="15" customHeight="1" s="55">
      <c r="A134" s="92" t="n"/>
      <c r="B134" s="92" t="n"/>
      <c r="C134" s="93" t="n"/>
      <c r="D134" s="93" t="n"/>
      <c r="E134" s="93" t="n"/>
      <c r="F134" s="92" t="n"/>
      <c r="G134" s="93" t="n"/>
      <c r="H134" s="92" t="n"/>
      <c r="I134" s="93" t="n"/>
      <c r="J134" s="92" t="n"/>
      <c r="K134" s="98">
        <f>IF(COUNT(F134,H134,J134)=3,F134*H134*J134,"")</f>
        <v/>
      </c>
      <c r="L134" s="106">
        <f>IF(K134="","",IF(OR(F134&gt;=9,K134&gt;=100,AND(F134&gt;=7,J134&gt;=7)),"ACTION REQUIRED","Monitor"))</f>
        <v/>
      </c>
      <c r="M134" s="107" t="n"/>
      <c r="N134" s="108" t="n"/>
      <c r="O134" s="107" t="n"/>
      <c r="P134" s="107" t="n"/>
      <c r="Q134" s="107" t="n"/>
      <c r="R134" s="98">
        <f>IF(COUNT(O134,P134,Q134)=3,O134*P134*Q134,"")</f>
        <v/>
      </c>
      <c r="S134" s="109">
        <f>IF(AND(O134&lt;&gt;"",F134&lt;&gt;"",O134&lt;&gt;F134),"SEVERITY CHANGED","")</f>
        <v/>
      </c>
    </row>
    <row r="135" ht="15" customHeight="1" s="55">
      <c r="A135" s="92" t="n"/>
      <c r="B135" s="92" t="n"/>
      <c r="C135" s="93" t="n"/>
      <c r="D135" s="93" t="n"/>
      <c r="E135" s="93" t="n"/>
      <c r="F135" s="92" t="n"/>
      <c r="G135" s="93" t="n"/>
      <c r="H135" s="92" t="n"/>
      <c r="I135" s="93" t="n"/>
      <c r="J135" s="92" t="n"/>
      <c r="K135" s="98">
        <f>IF(COUNT(F135,H135,J135)=3,F135*H135*J135,"")</f>
        <v/>
      </c>
      <c r="L135" s="106">
        <f>IF(K135="","",IF(OR(F135&gt;=9,K135&gt;=100,AND(F135&gt;=7,J135&gt;=7)),"ACTION REQUIRED","Monitor"))</f>
        <v/>
      </c>
      <c r="M135" s="107" t="n"/>
      <c r="N135" s="108" t="n"/>
      <c r="O135" s="107" t="n"/>
      <c r="P135" s="107" t="n"/>
      <c r="Q135" s="107" t="n"/>
      <c r="R135" s="98">
        <f>IF(COUNT(O135,P135,Q135)=3,O135*P135*Q135,"")</f>
        <v/>
      </c>
      <c r="S135" s="109">
        <f>IF(AND(O135&lt;&gt;"",F135&lt;&gt;"",O135&lt;&gt;F135),"SEVERITY CHANGED","")</f>
        <v/>
      </c>
    </row>
    <row r="136" ht="15" customHeight="1" s="55">
      <c r="A136" s="92" t="n"/>
      <c r="B136" s="92" t="n"/>
      <c r="C136" s="93" t="n"/>
      <c r="D136" s="93" t="n"/>
      <c r="E136" s="93" t="n"/>
      <c r="F136" s="92" t="n"/>
      <c r="G136" s="93" t="n"/>
      <c r="H136" s="92" t="n"/>
      <c r="I136" s="93" t="n"/>
      <c r="J136" s="92" t="n"/>
      <c r="K136" s="98">
        <f>IF(COUNT(F136,H136,J136)=3,F136*H136*J136,"")</f>
        <v/>
      </c>
      <c r="L136" s="106">
        <f>IF(K136="","",IF(OR(F136&gt;=9,K136&gt;=100,AND(F136&gt;=7,J136&gt;=7)),"ACTION REQUIRED","Monitor"))</f>
        <v/>
      </c>
      <c r="M136" s="107" t="n"/>
      <c r="N136" s="108" t="n"/>
      <c r="O136" s="107" t="n"/>
      <c r="P136" s="107" t="n"/>
      <c r="Q136" s="107" t="n"/>
      <c r="R136" s="98">
        <f>IF(COUNT(O136,P136,Q136)=3,O136*P136*Q136,"")</f>
        <v/>
      </c>
      <c r="S136" s="109">
        <f>IF(AND(O136&lt;&gt;"",F136&lt;&gt;"",O136&lt;&gt;F136),"SEVERITY CHANGED","")</f>
        <v/>
      </c>
    </row>
    <row r="137" ht="15" customHeight="1" s="55">
      <c r="A137" s="92" t="n"/>
      <c r="B137" s="92" t="n"/>
      <c r="C137" s="93" t="n"/>
      <c r="D137" s="93" t="n"/>
      <c r="E137" s="93" t="n"/>
      <c r="F137" s="92" t="n"/>
      <c r="G137" s="93" t="n"/>
      <c r="H137" s="92" t="n"/>
      <c r="I137" s="93" t="n"/>
      <c r="J137" s="92" t="n"/>
      <c r="K137" s="98">
        <f>IF(COUNT(F137,H137,J137)=3,F137*H137*J137,"")</f>
        <v/>
      </c>
      <c r="L137" s="106">
        <f>IF(K137="","",IF(OR(F137&gt;=9,K137&gt;=100,AND(F137&gt;=7,J137&gt;=7)),"ACTION REQUIRED","Monitor"))</f>
        <v/>
      </c>
      <c r="M137" s="107" t="n"/>
      <c r="N137" s="108" t="n"/>
      <c r="O137" s="107" t="n"/>
      <c r="P137" s="107" t="n"/>
      <c r="Q137" s="107" t="n"/>
      <c r="R137" s="98">
        <f>IF(COUNT(O137,P137,Q137)=3,O137*P137*Q137,"")</f>
        <v/>
      </c>
      <c r="S137" s="109">
        <f>IF(AND(O137&lt;&gt;"",F137&lt;&gt;"",O137&lt;&gt;F137),"SEVERITY CHANGED","")</f>
        <v/>
      </c>
    </row>
    <row r="138" ht="15" customHeight="1" s="55">
      <c r="A138" s="92" t="n"/>
      <c r="B138" s="92" t="n"/>
      <c r="C138" s="93" t="n"/>
      <c r="D138" s="93" t="n"/>
      <c r="E138" s="93" t="n"/>
      <c r="F138" s="92" t="n"/>
      <c r="G138" s="93" t="n"/>
      <c r="H138" s="92" t="n"/>
      <c r="I138" s="93" t="n"/>
      <c r="J138" s="92" t="n"/>
      <c r="K138" s="98">
        <f>IF(COUNT(F138,H138,J138)=3,F138*H138*J138,"")</f>
        <v/>
      </c>
      <c r="L138" s="106">
        <f>IF(K138="","",IF(OR(F138&gt;=9,K138&gt;=100,AND(F138&gt;=7,J138&gt;=7)),"ACTION REQUIRED","Monitor"))</f>
        <v/>
      </c>
      <c r="M138" s="107" t="n"/>
      <c r="N138" s="108" t="n"/>
      <c r="O138" s="107" t="n"/>
      <c r="P138" s="107" t="n"/>
      <c r="Q138" s="107" t="n"/>
      <c r="R138" s="98">
        <f>IF(COUNT(O138,P138,Q138)=3,O138*P138*Q138,"")</f>
        <v/>
      </c>
      <c r="S138" s="109">
        <f>IF(AND(O138&lt;&gt;"",F138&lt;&gt;"",O138&lt;&gt;F138),"SEVERITY CHANGED","")</f>
        <v/>
      </c>
    </row>
    <row r="139" ht="15" customHeight="1" s="55">
      <c r="A139" s="92" t="n"/>
      <c r="B139" s="92" t="n"/>
      <c r="C139" s="93" t="n"/>
      <c r="D139" s="93" t="n"/>
      <c r="E139" s="93" t="n"/>
      <c r="F139" s="92" t="n"/>
      <c r="G139" s="93" t="n"/>
      <c r="H139" s="92" t="n"/>
      <c r="I139" s="93" t="n"/>
      <c r="J139" s="92" t="n"/>
      <c r="K139" s="98">
        <f>IF(COUNT(F139,H139,J139)=3,F139*H139*J139,"")</f>
        <v/>
      </c>
      <c r="L139" s="106">
        <f>IF(K139="","",IF(OR(F139&gt;=9,K139&gt;=100,AND(F139&gt;=7,J139&gt;=7)),"ACTION REQUIRED","Monitor"))</f>
        <v/>
      </c>
      <c r="M139" s="107" t="n"/>
      <c r="N139" s="108" t="n"/>
      <c r="O139" s="107" t="n"/>
      <c r="P139" s="107" t="n"/>
      <c r="Q139" s="107" t="n"/>
      <c r="R139" s="98">
        <f>IF(COUNT(O139,P139,Q139)=3,O139*P139*Q139,"")</f>
        <v/>
      </c>
      <c r="S139" s="109">
        <f>IF(AND(O139&lt;&gt;"",F139&lt;&gt;"",O139&lt;&gt;F139),"SEVERITY CHANGED","")</f>
        <v/>
      </c>
    </row>
    <row r="140" ht="15" customHeight="1" s="55">
      <c r="A140" s="92" t="n"/>
      <c r="B140" s="92" t="n"/>
      <c r="C140" s="93" t="n"/>
      <c r="D140" s="93" t="n"/>
      <c r="E140" s="93" t="n"/>
      <c r="F140" s="92" t="n"/>
      <c r="G140" s="93" t="n"/>
      <c r="H140" s="92" t="n"/>
      <c r="I140" s="93" t="n"/>
      <c r="J140" s="92" t="n"/>
      <c r="K140" s="98">
        <f>IF(COUNT(F140,H140,J140)=3,F140*H140*J140,"")</f>
        <v/>
      </c>
      <c r="L140" s="106">
        <f>IF(K140="","",IF(OR(F140&gt;=9,K140&gt;=100,AND(F140&gt;=7,J140&gt;=7)),"ACTION REQUIRED","Monitor"))</f>
        <v/>
      </c>
      <c r="M140" s="107" t="n"/>
      <c r="N140" s="108" t="n"/>
      <c r="O140" s="107" t="n"/>
      <c r="P140" s="107" t="n"/>
      <c r="Q140" s="107" t="n"/>
      <c r="R140" s="98">
        <f>IF(COUNT(O140,P140,Q140)=3,O140*P140*Q140,"")</f>
        <v/>
      </c>
      <c r="S140" s="109">
        <f>IF(AND(O140&lt;&gt;"",F140&lt;&gt;"",O140&lt;&gt;F140),"SEVERITY CHANGED","")</f>
        <v/>
      </c>
    </row>
    <row r="141" ht="15" customHeight="1" s="55">
      <c r="A141" s="92" t="n"/>
      <c r="B141" s="92" t="n"/>
      <c r="C141" s="93" t="n"/>
      <c r="D141" s="93" t="n"/>
      <c r="E141" s="93" t="n"/>
      <c r="F141" s="92" t="n"/>
      <c r="G141" s="93" t="n"/>
      <c r="H141" s="92" t="n"/>
      <c r="I141" s="93" t="n"/>
      <c r="J141" s="92" t="n"/>
      <c r="K141" s="98">
        <f>IF(COUNT(F141,H141,J141)=3,F141*H141*J141,"")</f>
        <v/>
      </c>
      <c r="L141" s="106">
        <f>IF(K141="","",IF(OR(F141&gt;=9,K141&gt;=100,AND(F141&gt;=7,J141&gt;=7)),"ACTION REQUIRED","Monitor"))</f>
        <v/>
      </c>
      <c r="M141" s="107" t="n"/>
      <c r="N141" s="108" t="n"/>
      <c r="O141" s="107" t="n"/>
      <c r="P141" s="107" t="n"/>
      <c r="Q141" s="107" t="n"/>
      <c r="R141" s="98">
        <f>IF(COUNT(O141,P141,Q141)=3,O141*P141*Q141,"")</f>
        <v/>
      </c>
      <c r="S141" s="109">
        <f>IF(AND(O141&lt;&gt;"",F141&lt;&gt;"",O141&lt;&gt;F141),"SEVERITY CHANGED","")</f>
        <v/>
      </c>
    </row>
    <row r="142" ht="15" customHeight="1" s="55">
      <c r="A142" s="92" t="n"/>
      <c r="B142" s="92" t="n"/>
      <c r="C142" s="93" t="n"/>
      <c r="D142" s="93" t="n"/>
      <c r="E142" s="93" t="n"/>
      <c r="F142" s="92" t="n"/>
      <c r="G142" s="93" t="n"/>
      <c r="H142" s="92" t="n"/>
      <c r="I142" s="93" t="n"/>
      <c r="J142" s="92" t="n"/>
      <c r="K142" s="98">
        <f>IF(COUNT(F142,H142,J142)=3,F142*H142*J142,"")</f>
        <v/>
      </c>
      <c r="L142" s="106">
        <f>IF(K142="","",IF(OR(F142&gt;=9,K142&gt;=100,AND(F142&gt;=7,J142&gt;=7)),"ACTION REQUIRED","Monitor"))</f>
        <v/>
      </c>
      <c r="M142" s="107" t="n"/>
      <c r="N142" s="108" t="n"/>
      <c r="O142" s="107" t="n"/>
      <c r="P142" s="107" t="n"/>
      <c r="Q142" s="107" t="n"/>
      <c r="R142" s="98">
        <f>IF(COUNT(O142,P142,Q142)=3,O142*P142*Q142,"")</f>
        <v/>
      </c>
      <c r="S142" s="109">
        <f>IF(AND(O142&lt;&gt;"",F142&lt;&gt;"",O142&lt;&gt;F142),"SEVERITY CHANGED","")</f>
        <v/>
      </c>
    </row>
    <row r="143" ht="15" customHeight="1" s="55">
      <c r="A143" s="92" t="n"/>
      <c r="B143" s="92" t="n"/>
      <c r="C143" s="93" t="n"/>
      <c r="D143" s="93" t="n"/>
      <c r="E143" s="93" t="n"/>
      <c r="F143" s="92" t="n"/>
      <c r="G143" s="93" t="n"/>
      <c r="H143" s="92" t="n"/>
      <c r="I143" s="93" t="n"/>
      <c r="J143" s="92" t="n"/>
      <c r="K143" s="98">
        <f>IF(COUNT(F143,H143,J143)=3,F143*H143*J143,"")</f>
        <v/>
      </c>
      <c r="L143" s="106">
        <f>IF(K143="","",IF(OR(F143&gt;=9,K143&gt;=100,AND(F143&gt;=7,J143&gt;=7)),"ACTION REQUIRED","Monitor"))</f>
        <v/>
      </c>
      <c r="M143" s="107" t="n"/>
      <c r="N143" s="108" t="n"/>
      <c r="O143" s="107" t="n"/>
      <c r="P143" s="107" t="n"/>
      <c r="Q143" s="107" t="n"/>
      <c r="R143" s="98">
        <f>IF(COUNT(O143,P143,Q143)=3,O143*P143*Q143,"")</f>
        <v/>
      </c>
      <c r="S143" s="109">
        <f>IF(AND(O143&lt;&gt;"",F143&lt;&gt;"",O143&lt;&gt;F143),"SEVERITY CHANGED","")</f>
        <v/>
      </c>
    </row>
    <row r="144" ht="15" customHeight="1" s="55">
      <c r="A144" s="92" t="n"/>
      <c r="B144" s="92" t="n"/>
      <c r="C144" s="93" t="n"/>
      <c r="D144" s="93" t="n"/>
      <c r="E144" s="93" t="n"/>
      <c r="F144" s="92" t="n"/>
      <c r="G144" s="93" t="n"/>
      <c r="H144" s="92" t="n"/>
      <c r="I144" s="93" t="n"/>
      <c r="J144" s="92" t="n"/>
      <c r="K144" s="98">
        <f>IF(COUNT(F144,H144,J144)=3,F144*H144*J144,"")</f>
        <v/>
      </c>
      <c r="L144" s="106">
        <f>IF(K144="","",IF(OR(F144&gt;=9,K144&gt;=100,AND(F144&gt;=7,J144&gt;=7)),"ACTION REQUIRED","Monitor"))</f>
        <v/>
      </c>
      <c r="M144" s="107" t="n"/>
      <c r="N144" s="108" t="n"/>
      <c r="O144" s="107" t="n"/>
      <c r="P144" s="107" t="n"/>
      <c r="Q144" s="107" t="n"/>
      <c r="R144" s="98">
        <f>IF(COUNT(O144,P144,Q144)=3,O144*P144*Q144,"")</f>
        <v/>
      </c>
      <c r="S144" s="109">
        <f>IF(AND(O144&lt;&gt;"",F144&lt;&gt;"",O144&lt;&gt;F144),"SEVERITY CHANGED","")</f>
        <v/>
      </c>
    </row>
    <row r="145" ht="15" customHeight="1" s="55">
      <c r="A145" s="92" t="n"/>
      <c r="B145" s="92" t="n"/>
      <c r="C145" s="93" t="n"/>
      <c r="D145" s="93" t="n"/>
      <c r="E145" s="93" t="n"/>
      <c r="F145" s="92" t="n"/>
      <c r="G145" s="93" t="n"/>
      <c r="H145" s="92" t="n"/>
      <c r="I145" s="93" t="n"/>
      <c r="J145" s="92" t="n"/>
      <c r="K145" s="98">
        <f>IF(COUNT(F145,H145,J145)=3,F145*H145*J145,"")</f>
        <v/>
      </c>
      <c r="L145" s="106">
        <f>IF(K145="","",IF(OR(F145&gt;=9,K145&gt;=100,AND(F145&gt;=7,J145&gt;=7)),"ACTION REQUIRED","Monitor"))</f>
        <v/>
      </c>
      <c r="M145" s="107" t="n"/>
      <c r="N145" s="108" t="n"/>
      <c r="O145" s="107" t="n"/>
      <c r="P145" s="107" t="n"/>
      <c r="Q145" s="107" t="n"/>
      <c r="R145" s="98">
        <f>IF(COUNT(O145,P145,Q145)=3,O145*P145*Q145,"")</f>
        <v/>
      </c>
      <c r="S145" s="109">
        <f>IF(AND(O145&lt;&gt;"",F145&lt;&gt;"",O145&lt;&gt;F145),"SEVERITY CHANGED","")</f>
        <v/>
      </c>
    </row>
    <row r="146" ht="15" customHeight="1" s="55">
      <c r="A146" s="92" t="n"/>
      <c r="B146" s="92" t="n"/>
      <c r="C146" s="93" t="n"/>
      <c r="D146" s="93" t="n"/>
      <c r="E146" s="93" t="n"/>
      <c r="F146" s="92" t="n"/>
      <c r="G146" s="93" t="n"/>
      <c r="H146" s="92" t="n"/>
      <c r="I146" s="93" t="n"/>
      <c r="J146" s="92" t="n"/>
      <c r="K146" s="98">
        <f>IF(COUNT(F146,H146,J146)=3,F146*H146*J146,"")</f>
        <v/>
      </c>
      <c r="L146" s="106">
        <f>IF(K146="","",IF(OR(F146&gt;=9,K146&gt;=100,AND(F146&gt;=7,J146&gt;=7)),"ACTION REQUIRED","Monitor"))</f>
        <v/>
      </c>
      <c r="M146" s="107" t="n"/>
      <c r="N146" s="108" t="n"/>
      <c r="O146" s="107" t="n"/>
      <c r="P146" s="107" t="n"/>
      <c r="Q146" s="107" t="n"/>
      <c r="R146" s="98">
        <f>IF(COUNT(O146,P146,Q146)=3,O146*P146*Q146,"")</f>
        <v/>
      </c>
      <c r="S146" s="109">
        <f>IF(AND(O146&lt;&gt;"",F146&lt;&gt;"",O146&lt;&gt;F146),"SEVERITY CHANGED","")</f>
        <v/>
      </c>
    </row>
    <row r="147" ht="15" customHeight="1" s="55">
      <c r="A147" s="92" t="n"/>
      <c r="B147" s="92" t="n"/>
      <c r="C147" s="93" t="n"/>
      <c r="D147" s="93" t="n"/>
      <c r="E147" s="93" t="n"/>
      <c r="F147" s="92" t="n"/>
      <c r="G147" s="93" t="n"/>
      <c r="H147" s="92" t="n"/>
      <c r="I147" s="93" t="n"/>
      <c r="J147" s="92" t="n"/>
      <c r="K147" s="98">
        <f>IF(COUNT(F147,H147,J147)=3,F147*H147*J147,"")</f>
        <v/>
      </c>
      <c r="L147" s="106">
        <f>IF(K147="","",IF(OR(F147&gt;=9,K147&gt;=100,AND(F147&gt;=7,J147&gt;=7)),"ACTION REQUIRED","Monitor"))</f>
        <v/>
      </c>
      <c r="M147" s="107" t="n"/>
      <c r="N147" s="108" t="n"/>
      <c r="O147" s="107" t="n"/>
      <c r="P147" s="107" t="n"/>
      <c r="Q147" s="107" t="n"/>
      <c r="R147" s="98">
        <f>IF(COUNT(O147,P147,Q147)=3,O147*P147*Q147,"")</f>
        <v/>
      </c>
      <c r="S147" s="109">
        <f>IF(AND(O147&lt;&gt;"",F147&lt;&gt;"",O147&lt;&gt;F147),"SEVERITY CHANGED","")</f>
        <v/>
      </c>
    </row>
    <row r="148" ht="15" customHeight="1" s="55">
      <c r="A148" s="92" t="n"/>
      <c r="B148" s="92" t="n"/>
      <c r="C148" s="93" t="n"/>
      <c r="D148" s="93" t="n"/>
      <c r="E148" s="93" t="n"/>
      <c r="F148" s="92" t="n"/>
      <c r="G148" s="93" t="n"/>
      <c r="H148" s="92" t="n"/>
      <c r="I148" s="93" t="n"/>
      <c r="J148" s="92" t="n"/>
      <c r="K148" s="98">
        <f>IF(COUNT(F148,H148,J148)=3,F148*H148*J148,"")</f>
        <v/>
      </c>
      <c r="L148" s="106">
        <f>IF(K148="","",IF(OR(F148&gt;=9,K148&gt;=100,AND(F148&gt;=7,J148&gt;=7)),"ACTION REQUIRED","Monitor"))</f>
        <v/>
      </c>
      <c r="M148" s="107" t="n"/>
      <c r="N148" s="108" t="n"/>
      <c r="O148" s="107" t="n"/>
      <c r="P148" s="107" t="n"/>
      <c r="Q148" s="107" t="n"/>
      <c r="R148" s="98">
        <f>IF(COUNT(O148,P148,Q148)=3,O148*P148*Q148,"")</f>
        <v/>
      </c>
      <c r="S148" s="109">
        <f>IF(AND(O148&lt;&gt;"",F148&lt;&gt;"",O148&lt;&gt;F148),"SEVERITY CHANGED","")</f>
        <v/>
      </c>
    </row>
    <row r="149" ht="15" customHeight="1" s="55">
      <c r="A149" s="92" t="n"/>
      <c r="B149" s="92" t="n"/>
      <c r="C149" s="93" t="n"/>
      <c r="D149" s="93" t="n"/>
      <c r="E149" s="93" t="n"/>
      <c r="F149" s="92" t="n"/>
      <c r="G149" s="93" t="n"/>
      <c r="H149" s="92" t="n"/>
      <c r="I149" s="93" t="n"/>
      <c r="J149" s="92" t="n"/>
      <c r="K149" s="98">
        <f>IF(COUNT(F149,H149,J149)=3,F149*H149*J149,"")</f>
        <v/>
      </c>
      <c r="L149" s="106">
        <f>IF(K149="","",IF(OR(F149&gt;=9,K149&gt;=100,AND(F149&gt;=7,J149&gt;=7)),"ACTION REQUIRED","Monitor"))</f>
        <v/>
      </c>
      <c r="M149" s="107" t="n"/>
      <c r="N149" s="108" t="n"/>
      <c r="O149" s="107" t="n"/>
      <c r="P149" s="107" t="n"/>
      <c r="Q149" s="107" t="n"/>
      <c r="R149" s="98">
        <f>IF(COUNT(O149,P149,Q149)=3,O149*P149*Q149,"")</f>
        <v/>
      </c>
      <c r="S149" s="109">
        <f>IF(AND(O149&lt;&gt;"",F149&lt;&gt;"",O149&lt;&gt;F149),"SEVERITY CHANGED","")</f>
        <v/>
      </c>
    </row>
    <row r="150" ht="15" customHeight="1" s="55">
      <c r="A150" s="92" t="n"/>
      <c r="B150" s="92" t="n"/>
      <c r="C150" s="93" t="n"/>
      <c r="D150" s="93" t="n"/>
      <c r="E150" s="93" t="n"/>
      <c r="F150" s="92" t="n"/>
      <c r="G150" s="93" t="n"/>
      <c r="H150" s="92" t="n"/>
      <c r="I150" s="93" t="n"/>
      <c r="J150" s="92" t="n"/>
      <c r="K150" s="98">
        <f>IF(COUNT(F150,H150,J150)=3,F150*H150*J150,"")</f>
        <v/>
      </c>
      <c r="L150" s="106">
        <f>IF(K150="","",IF(OR(F150&gt;=9,K150&gt;=100,AND(F150&gt;=7,J150&gt;=7)),"ACTION REQUIRED","Monitor"))</f>
        <v/>
      </c>
      <c r="M150" s="107" t="n"/>
      <c r="N150" s="108" t="n"/>
      <c r="O150" s="107" t="n"/>
      <c r="P150" s="107" t="n"/>
      <c r="Q150" s="107" t="n"/>
      <c r="R150" s="98">
        <f>IF(COUNT(O150,P150,Q150)=3,O150*P150*Q150,"")</f>
        <v/>
      </c>
      <c r="S150" s="109">
        <f>IF(AND(O150&lt;&gt;"",F150&lt;&gt;"",O150&lt;&gt;F150),"SEVERITY CHANGED","")</f>
        <v/>
      </c>
    </row>
    <row r="151" ht="15" customHeight="1" s="55">
      <c r="A151" s="92" t="n"/>
      <c r="B151" s="92" t="n"/>
      <c r="C151" s="93" t="n"/>
      <c r="D151" s="93" t="n"/>
      <c r="E151" s="93" t="n"/>
      <c r="F151" s="92" t="n"/>
      <c r="G151" s="93" t="n"/>
      <c r="H151" s="92" t="n"/>
      <c r="I151" s="93" t="n"/>
      <c r="J151" s="92" t="n"/>
      <c r="K151" s="98">
        <f>IF(COUNT(F151,H151,J151)=3,F151*H151*J151,"")</f>
        <v/>
      </c>
      <c r="L151" s="106">
        <f>IF(K151="","",IF(OR(F151&gt;=9,K151&gt;=100,AND(F151&gt;=7,J151&gt;=7)),"ACTION REQUIRED","Monitor"))</f>
        <v/>
      </c>
      <c r="M151" s="107" t="n"/>
      <c r="N151" s="108" t="n"/>
      <c r="O151" s="107" t="n"/>
      <c r="P151" s="107" t="n"/>
      <c r="Q151" s="107" t="n"/>
      <c r="R151" s="98">
        <f>IF(COUNT(O151,P151,Q151)=3,O151*P151*Q151,"")</f>
        <v/>
      </c>
      <c r="S151" s="109">
        <f>IF(AND(O151&lt;&gt;"",F151&lt;&gt;"",O151&lt;&gt;F151),"SEVERITY CHANGED","")</f>
        <v/>
      </c>
    </row>
    <row r="152" ht="15" customHeight="1" s="55">
      <c r="A152" s="92" t="n"/>
      <c r="B152" s="92" t="n"/>
      <c r="C152" s="93" t="n"/>
      <c r="D152" s="93" t="n"/>
      <c r="E152" s="93" t="n"/>
      <c r="F152" s="92" t="n"/>
      <c r="G152" s="93" t="n"/>
      <c r="H152" s="92" t="n"/>
      <c r="I152" s="93" t="n"/>
      <c r="J152" s="92" t="n"/>
      <c r="K152" s="98">
        <f>IF(COUNT(F152,H152,J152)=3,F152*H152*J152,"")</f>
        <v/>
      </c>
      <c r="L152" s="106">
        <f>IF(K152="","",IF(OR(F152&gt;=9,K152&gt;=100,AND(F152&gt;=7,J152&gt;=7)),"ACTION REQUIRED","Monitor"))</f>
        <v/>
      </c>
      <c r="M152" s="107" t="n"/>
      <c r="N152" s="108" t="n"/>
      <c r="O152" s="107" t="n"/>
      <c r="P152" s="107" t="n"/>
      <c r="Q152" s="107" t="n"/>
      <c r="R152" s="98">
        <f>IF(COUNT(O152,P152,Q152)=3,O152*P152*Q152,"")</f>
        <v/>
      </c>
      <c r="S152" s="109">
        <f>IF(AND(O152&lt;&gt;"",F152&lt;&gt;"",O152&lt;&gt;F152),"SEVERITY CHANGED","")</f>
        <v/>
      </c>
    </row>
    <row r="153" ht="15" customHeight="1" s="55">
      <c r="A153" s="92" t="n"/>
      <c r="B153" s="92" t="n"/>
      <c r="C153" s="93" t="n"/>
      <c r="D153" s="93" t="n"/>
      <c r="E153" s="93" t="n"/>
      <c r="F153" s="92" t="n"/>
      <c r="G153" s="93" t="n"/>
      <c r="H153" s="92" t="n"/>
      <c r="I153" s="93" t="n"/>
      <c r="J153" s="92" t="n"/>
      <c r="K153" s="98">
        <f>IF(COUNT(F153,H153,J153)=3,F153*H153*J153,"")</f>
        <v/>
      </c>
      <c r="L153" s="106">
        <f>IF(K153="","",IF(OR(F153&gt;=9,K153&gt;=100,AND(F153&gt;=7,J153&gt;=7)),"ACTION REQUIRED","Monitor"))</f>
        <v/>
      </c>
      <c r="M153" s="107" t="n"/>
      <c r="N153" s="108" t="n"/>
      <c r="O153" s="107" t="n"/>
      <c r="P153" s="107" t="n"/>
      <c r="Q153" s="107" t="n"/>
      <c r="R153" s="98">
        <f>IF(COUNT(O153,P153,Q153)=3,O153*P153*Q153,"")</f>
        <v/>
      </c>
      <c r="S153" s="109">
        <f>IF(AND(O153&lt;&gt;"",F153&lt;&gt;"",O153&lt;&gt;F153),"SEVERITY CHANGED","")</f>
        <v/>
      </c>
    </row>
    <row r="154" ht="15" customHeight="1" s="55">
      <c r="A154" s="92" t="n"/>
      <c r="B154" s="92" t="n"/>
      <c r="C154" s="93" t="n"/>
      <c r="D154" s="93" t="n"/>
      <c r="E154" s="93" t="n"/>
      <c r="F154" s="92" t="n"/>
      <c r="G154" s="93" t="n"/>
      <c r="H154" s="92" t="n"/>
      <c r="I154" s="93" t="n"/>
      <c r="J154" s="92" t="n"/>
      <c r="K154" s="98">
        <f>IF(COUNT(F154,H154,J154)=3,F154*H154*J154,"")</f>
        <v/>
      </c>
      <c r="L154" s="106">
        <f>IF(K154="","",IF(OR(F154&gt;=9,K154&gt;=100,AND(F154&gt;=7,J154&gt;=7)),"ACTION REQUIRED","Monitor"))</f>
        <v/>
      </c>
      <c r="M154" s="107" t="n"/>
      <c r="N154" s="108" t="n"/>
      <c r="O154" s="107" t="n"/>
      <c r="P154" s="107" t="n"/>
      <c r="Q154" s="107" t="n"/>
      <c r="R154" s="98">
        <f>IF(COUNT(O154,P154,Q154)=3,O154*P154*Q154,"")</f>
        <v/>
      </c>
      <c r="S154" s="109">
        <f>IF(AND(O154&lt;&gt;"",F154&lt;&gt;"",O154&lt;&gt;F154),"SEVERITY CHANGED","")</f>
        <v/>
      </c>
    </row>
    <row r="155" ht="15" customHeight="1" s="55">
      <c r="A155" s="92" t="n"/>
      <c r="B155" s="92" t="n"/>
      <c r="C155" s="93" t="n"/>
      <c r="D155" s="93" t="n"/>
      <c r="E155" s="93" t="n"/>
      <c r="F155" s="92" t="n"/>
      <c r="G155" s="93" t="n"/>
      <c r="H155" s="92" t="n"/>
      <c r="I155" s="93" t="n"/>
      <c r="J155" s="92" t="n"/>
      <c r="K155" s="98">
        <f>IF(COUNT(F155,H155,J155)=3,F155*H155*J155,"")</f>
        <v/>
      </c>
      <c r="L155" s="106">
        <f>IF(K155="","",IF(OR(F155&gt;=9,K155&gt;=100,AND(F155&gt;=7,J155&gt;=7)),"ACTION REQUIRED","Monitor"))</f>
        <v/>
      </c>
      <c r="M155" s="107" t="n"/>
      <c r="N155" s="108" t="n"/>
      <c r="O155" s="107" t="n"/>
      <c r="P155" s="107" t="n"/>
      <c r="Q155" s="107" t="n"/>
      <c r="R155" s="98">
        <f>IF(COUNT(O155,P155,Q155)=3,O155*P155*Q155,"")</f>
        <v/>
      </c>
      <c r="S155" s="109">
        <f>IF(AND(O155&lt;&gt;"",F155&lt;&gt;"",O155&lt;&gt;F155),"SEVERITY CHANGED","")</f>
        <v/>
      </c>
    </row>
    <row r="156" ht="15" customHeight="1" s="55">
      <c r="A156" s="92" t="n"/>
      <c r="B156" s="92" t="n"/>
      <c r="C156" s="93" t="n"/>
      <c r="D156" s="93" t="n"/>
      <c r="E156" s="93" t="n"/>
      <c r="F156" s="92" t="n"/>
      <c r="G156" s="93" t="n"/>
      <c r="H156" s="92" t="n"/>
      <c r="I156" s="93" t="n"/>
      <c r="J156" s="92" t="n"/>
      <c r="K156" s="98">
        <f>IF(COUNT(F156,H156,J156)=3,F156*H156*J156,"")</f>
        <v/>
      </c>
      <c r="L156" s="106">
        <f>IF(K156="","",IF(OR(F156&gt;=9,K156&gt;=100,AND(F156&gt;=7,J156&gt;=7)),"ACTION REQUIRED","Monitor"))</f>
        <v/>
      </c>
      <c r="M156" s="107" t="n"/>
      <c r="N156" s="108" t="n"/>
      <c r="O156" s="107" t="n"/>
      <c r="P156" s="107" t="n"/>
      <c r="Q156" s="107" t="n"/>
      <c r="R156" s="98">
        <f>IF(COUNT(O156,P156,Q156)=3,O156*P156*Q156,"")</f>
        <v/>
      </c>
      <c r="S156" s="109">
        <f>IF(AND(O156&lt;&gt;"",F156&lt;&gt;"",O156&lt;&gt;F156),"SEVERITY CHANGED","")</f>
        <v/>
      </c>
    </row>
    <row r="157" ht="15" customHeight="1" s="55">
      <c r="A157" s="92" t="n"/>
      <c r="B157" s="92" t="n"/>
      <c r="C157" s="93" t="n"/>
      <c r="D157" s="93" t="n"/>
      <c r="E157" s="93" t="n"/>
      <c r="F157" s="92" t="n"/>
      <c r="G157" s="93" t="n"/>
      <c r="H157" s="92" t="n"/>
      <c r="I157" s="93" t="n"/>
      <c r="J157" s="92" t="n"/>
      <c r="K157" s="98">
        <f>IF(COUNT(F157,H157,J157)=3,F157*H157*J157,"")</f>
        <v/>
      </c>
      <c r="L157" s="106">
        <f>IF(K157="","",IF(OR(F157&gt;=9,K157&gt;=100,AND(F157&gt;=7,J157&gt;=7)),"ACTION REQUIRED","Monitor"))</f>
        <v/>
      </c>
      <c r="M157" s="107" t="n"/>
      <c r="N157" s="108" t="n"/>
      <c r="O157" s="107" t="n"/>
      <c r="P157" s="107" t="n"/>
      <c r="Q157" s="107" t="n"/>
      <c r="R157" s="98">
        <f>IF(COUNT(O157,P157,Q157)=3,O157*P157*Q157,"")</f>
        <v/>
      </c>
      <c r="S157" s="109">
        <f>IF(AND(O157&lt;&gt;"",F157&lt;&gt;"",O157&lt;&gt;F157),"SEVERITY CHANGED","")</f>
        <v/>
      </c>
    </row>
    <row r="158" ht="15" customHeight="1" s="55">
      <c r="A158" s="92" t="n"/>
      <c r="B158" s="92" t="n"/>
      <c r="C158" s="93" t="n"/>
      <c r="D158" s="93" t="n"/>
      <c r="E158" s="93" t="n"/>
      <c r="F158" s="92" t="n"/>
      <c r="G158" s="93" t="n"/>
      <c r="H158" s="92" t="n"/>
      <c r="I158" s="93" t="n"/>
      <c r="J158" s="92" t="n"/>
      <c r="K158" s="98">
        <f>IF(COUNT(F158,H158,J158)=3,F158*H158*J158,"")</f>
        <v/>
      </c>
      <c r="L158" s="106">
        <f>IF(K158="","",IF(OR(F158&gt;=9,K158&gt;=100,AND(F158&gt;=7,J158&gt;=7)),"ACTION REQUIRED","Monitor"))</f>
        <v/>
      </c>
      <c r="M158" s="107" t="n"/>
      <c r="N158" s="108" t="n"/>
      <c r="O158" s="107" t="n"/>
      <c r="P158" s="107" t="n"/>
      <c r="Q158" s="107" t="n"/>
      <c r="R158" s="98">
        <f>IF(COUNT(O158,P158,Q158)=3,O158*P158*Q158,"")</f>
        <v/>
      </c>
      <c r="S158" s="109">
        <f>IF(AND(O158&lt;&gt;"",F158&lt;&gt;"",O158&lt;&gt;F158),"SEVERITY CHANGED","")</f>
        <v/>
      </c>
    </row>
    <row r="159" ht="15" customHeight="1" s="55">
      <c r="A159" s="92" t="n"/>
      <c r="B159" s="92" t="n"/>
      <c r="C159" s="93" t="n"/>
      <c r="D159" s="93" t="n"/>
      <c r="E159" s="93" t="n"/>
      <c r="F159" s="92" t="n"/>
      <c r="G159" s="93" t="n"/>
      <c r="H159" s="92" t="n"/>
      <c r="I159" s="93" t="n"/>
      <c r="J159" s="92" t="n"/>
      <c r="K159" s="98">
        <f>IF(COUNT(F159,H159,J159)=3,F159*H159*J159,"")</f>
        <v/>
      </c>
      <c r="L159" s="106">
        <f>IF(K159="","",IF(OR(F159&gt;=9,K159&gt;=100,AND(F159&gt;=7,J159&gt;=7)),"ACTION REQUIRED","Monitor"))</f>
        <v/>
      </c>
      <c r="M159" s="107" t="n"/>
      <c r="N159" s="108" t="n"/>
      <c r="O159" s="107" t="n"/>
      <c r="P159" s="107" t="n"/>
      <c r="Q159" s="107" t="n"/>
      <c r="R159" s="98">
        <f>IF(COUNT(O159,P159,Q159)=3,O159*P159*Q159,"")</f>
        <v/>
      </c>
      <c r="S159" s="109">
        <f>IF(AND(O159&lt;&gt;"",F159&lt;&gt;"",O159&lt;&gt;F159),"SEVERITY CHANGED","")</f>
        <v/>
      </c>
    </row>
    <row r="160" ht="15" customHeight="1" s="55">
      <c r="A160" s="92" t="n"/>
      <c r="B160" s="92" t="n"/>
      <c r="C160" s="93" t="n"/>
      <c r="D160" s="93" t="n"/>
      <c r="E160" s="93" t="n"/>
      <c r="F160" s="92" t="n"/>
      <c r="G160" s="93" t="n"/>
      <c r="H160" s="92" t="n"/>
      <c r="I160" s="93" t="n"/>
      <c r="J160" s="92" t="n"/>
      <c r="K160" s="98">
        <f>IF(COUNT(F160,H160,J160)=3,F160*H160*J160,"")</f>
        <v/>
      </c>
      <c r="L160" s="106">
        <f>IF(K160="","",IF(OR(F160&gt;=9,K160&gt;=100,AND(F160&gt;=7,J160&gt;=7)),"ACTION REQUIRED","Monitor"))</f>
        <v/>
      </c>
      <c r="M160" s="107" t="n"/>
      <c r="N160" s="108" t="n"/>
      <c r="O160" s="107" t="n"/>
      <c r="P160" s="107" t="n"/>
      <c r="Q160" s="107" t="n"/>
      <c r="R160" s="98">
        <f>IF(COUNT(O160,P160,Q160)=3,O160*P160*Q160,"")</f>
        <v/>
      </c>
      <c r="S160" s="109">
        <f>IF(AND(O160&lt;&gt;"",F160&lt;&gt;"",O160&lt;&gt;F160),"SEVERITY CHANGED","")</f>
        <v/>
      </c>
    </row>
    <row r="161" ht="15" customHeight="1" s="55">
      <c r="A161" s="92" t="n"/>
      <c r="B161" s="92" t="n"/>
      <c r="C161" s="93" t="n"/>
      <c r="D161" s="93" t="n"/>
      <c r="E161" s="93" t="n"/>
      <c r="F161" s="92" t="n"/>
      <c r="G161" s="93" t="n"/>
      <c r="H161" s="92" t="n"/>
      <c r="I161" s="93" t="n"/>
      <c r="J161" s="92" t="n"/>
      <c r="K161" s="98">
        <f>IF(COUNT(F161,H161,J161)=3,F161*H161*J161,"")</f>
        <v/>
      </c>
      <c r="L161" s="106">
        <f>IF(K161="","",IF(OR(F161&gt;=9,K161&gt;=100,AND(F161&gt;=7,J161&gt;=7)),"ACTION REQUIRED","Monitor"))</f>
        <v/>
      </c>
      <c r="M161" s="107" t="n"/>
      <c r="N161" s="108" t="n"/>
      <c r="O161" s="107" t="n"/>
      <c r="P161" s="107" t="n"/>
      <c r="Q161" s="107" t="n"/>
      <c r="R161" s="98">
        <f>IF(COUNT(O161,P161,Q161)=3,O161*P161*Q161,"")</f>
        <v/>
      </c>
      <c r="S161" s="109">
        <f>IF(AND(O161&lt;&gt;"",F161&lt;&gt;"",O161&lt;&gt;F161),"SEVERITY CHANGED","")</f>
        <v/>
      </c>
    </row>
    <row r="162" ht="15" customHeight="1" s="55">
      <c r="A162" s="92" t="n"/>
      <c r="B162" s="92" t="n"/>
      <c r="C162" s="93" t="n"/>
      <c r="D162" s="93" t="n"/>
      <c r="E162" s="93" t="n"/>
      <c r="F162" s="92" t="n"/>
      <c r="G162" s="93" t="n"/>
      <c r="H162" s="92" t="n"/>
      <c r="I162" s="93" t="n"/>
      <c r="J162" s="92" t="n"/>
      <c r="K162" s="98">
        <f>IF(COUNT(F162,H162,J162)=3,F162*H162*J162,"")</f>
        <v/>
      </c>
      <c r="L162" s="106">
        <f>IF(K162="","",IF(OR(F162&gt;=9,K162&gt;=100,AND(F162&gt;=7,J162&gt;=7)),"ACTION REQUIRED","Monitor"))</f>
        <v/>
      </c>
      <c r="M162" s="107" t="n"/>
      <c r="N162" s="108" t="n"/>
      <c r="O162" s="107" t="n"/>
      <c r="P162" s="107" t="n"/>
      <c r="Q162" s="107" t="n"/>
      <c r="R162" s="98">
        <f>IF(COUNT(O162,P162,Q162)=3,O162*P162*Q162,"")</f>
        <v/>
      </c>
      <c r="S162" s="109">
        <f>IF(AND(O162&lt;&gt;"",F162&lt;&gt;"",O162&lt;&gt;F162),"SEVERITY CHANGED","")</f>
        <v/>
      </c>
    </row>
    <row r="163" ht="15" customHeight="1" s="55">
      <c r="A163" s="92" t="n"/>
      <c r="B163" s="92" t="n"/>
      <c r="C163" s="93" t="n"/>
      <c r="D163" s="93" t="n"/>
      <c r="E163" s="93" t="n"/>
      <c r="F163" s="92" t="n"/>
      <c r="G163" s="93" t="n"/>
      <c r="H163" s="92" t="n"/>
      <c r="I163" s="93" t="n"/>
      <c r="J163" s="92" t="n"/>
      <c r="K163" s="98">
        <f>IF(COUNT(F163,H163,J163)=3,F163*H163*J163,"")</f>
        <v/>
      </c>
      <c r="L163" s="106">
        <f>IF(K163="","",IF(OR(F163&gt;=9,K163&gt;=100,AND(F163&gt;=7,J163&gt;=7)),"ACTION REQUIRED","Monitor"))</f>
        <v/>
      </c>
      <c r="M163" s="107" t="n"/>
      <c r="N163" s="108" t="n"/>
      <c r="O163" s="107" t="n"/>
      <c r="P163" s="107" t="n"/>
      <c r="Q163" s="107" t="n"/>
      <c r="R163" s="98">
        <f>IF(COUNT(O163,P163,Q163)=3,O163*P163*Q163,"")</f>
        <v/>
      </c>
      <c r="S163" s="109">
        <f>IF(AND(O163&lt;&gt;"",F163&lt;&gt;"",O163&lt;&gt;F163),"SEVERITY CHANGED","")</f>
        <v/>
      </c>
    </row>
    <row r="164" ht="15" customHeight="1" s="55">
      <c r="A164" s="92" t="n"/>
      <c r="B164" s="92" t="n"/>
      <c r="C164" s="93" t="n"/>
      <c r="D164" s="93" t="n"/>
      <c r="E164" s="93" t="n"/>
      <c r="F164" s="92" t="n"/>
      <c r="G164" s="93" t="n"/>
      <c r="H164" s="92" t="n"/>
      <c r="I164" s="93" t="n"/>
      <c r="J164" s="92" t="n"/>
      <c r="K164" s="98">
        <f>IF(COUNT(F164,H164,J164)=3,F164*H164*J164,"")</f>
        <v/>
      </c>
      <c r="L164" s="106">
        <f>IF(K164="","",IF(OR(F164&gt;=9,K164&gt;=100,AND(F164&gt;=7,J164&gt;=7)),"ACTION REQUIRED","Monitor"))</f>
        <v/>
      </c>
      <c r="M164" s="107" t="n"/>
      <c r="N164" s="108" t="n"/>
      <c r="O164" s="107" t="n"/>
      <c r="P164" s="107" t="n"/>
      <c r="Q164" s="107" t="n"/>
      <c r="R164" s="98">
        <f>IF(COUNT(O164,P164,Q164)=3,O164*P164*Q164,"")</f>
        <v/>
      </c>
      <c r="S164" s="109">
        <f>IF(AND(O164&lt;&gt;"",F164&lt;&gt;"",O164&lt;&gt;F164),"SEVERITY CHANGED","")</f>
        <v/>
      </c>
    </row>
    <row r="165" ht="15" customHeight="1" s="55">
      <c r="A165" s="92" t="n"/>
      <c r="B165" s="92" t="n"/>
      <c r="C165" s="93" t="n"/>
      <c r="D165" s="93" t="n"/>
      <c r="E165" s="93" t="n"/>
      <c r="F165" s="92" t="n"/>
      <c r="G165" s="93" t="n"/>
      <c r="H165" s="92" t="n"/>
      <c r="I165" s="93" t="n"/>
      <c r="J165" s="92" t="n"/>
      <c r="K165" s="98">
        <f>IF(COUNT(F165,H165,J165)=3,F165*H165*J165,"")</f>
        <v/>
      </c>
      <c r="L165" s="106">
        <f>IF(K165="","",IF(OR(F165&gt;=9,K165&gt;=100,AND(F165&gt;=7,J165&gt;=7)),"ACTION REQUIRED","Monitor"))</f>
        <v/>
      </c>
      <c r="M165" s="107" t="n"/>
      <c r="N165" s="108" t="n"/>
      <c r="O165" s="107" t="n"/>
      <c r="P165" s="107" t="n"/>
      <c r="Q165" s="107" t="n"/>
      <c r="R165" s="98">
        <f>IF(COUNT(O165,P165,Q165)=3,O165*P165*Q165,"")</f>
        <v/>
      </c>
      <c r="S165" s="109">
        <f>IF(AND(O165&lt;&gt;"",F165&lt;&gt;"",O165&lt;&gt;F165),"SEVERITY CHANGED","")</f>
        <v/>
      </c>
    </row>
    <row r="166" ht="15" customHeight="1" s="55">
      <c r="A166" s="92" t="n"/>
      <c r="B166" s="92" t="n"/>
      <c r="C166" s="93" t="n"/>
      <c r="D166" s="93" t="n"/>
      <c r="E166" s="93" t="n"/>
      <c r="F166" s="92" t="n"/>
      <c r="G166" s="93" t="n"/>
      <c r="H166" s="92" t="n"/>
      <c r="I166" s="93" t="n"/>
      <c r="J166" s="92" t="n"/>
      <c r="K166" s="98">
        <f>IF(COUNT(F166,H166,J166)=3,F166*H166*J166,"")</f>
        <v/>
      </c>
      <c r="L166" s="106">
        <f>IF(K166="","",IF(OR(F166&gt;=9,K166&gt;=100,AND(F166&gt;=7,J166&gt;=7)),"ACTION REQUIRED","Monitor"))</f>
        <v/>
      </c>
      <c r="M166" s="107" t="n"/>
      <c r="N166" s="108" t="n"/>
      <c r="O166" s="107" t="n"/>
      <c r="P166" s="107" t="n"/>
      <c r="Q166" s="107" t="n"/>
      <c r="R166" s="98">
        <f>IF(COUNT(O166,P166,Q166)=3,O166*P166*Q166,"")</f>
        <v/>
      </c>
      <c r="S166" s="109">
        <f>IF(AND(O166&lt;&gt;"",F166&lt;&gt;"",O166&lt;&gt;F166),"SEVERITY CHANGED","")</f>
        <v/>
      </c>
    </row>
    <row r="167" ht="15" customHeight="1" s="55">
      <c r="A167" s="92" t="n"/>
      <c r="B167" s="92" t="n"/>
      <c r="C167" s="93" t="n"/>
      <c r="D167" s="93" t="n"/>
      <c r="E167" s="93" t="n"/>
      <c r="F167" s="92" t="n"/>
      <c r="G167" s="93" t="n"/>
      <c r="H167" s="92" t="n"/>
      <c r="I167" s="93" t="n"/>
      <c r="J167" s="92" t="n"/>
      <c r="K167" s="98">
        <f>IF(COUNT(F167,H167,J167)=3,F167*H167*J167,"")</f>
        <v/>
      </c>
      <c r="L167" s="106">
        <f>IF(K167="","",IF(OR(F167&gt;=9,K167&gt;=100,AND(F167&gt;=7,J167&gt;=7)),"ACTION REQUIRED","Monitor"))</f>
        <v/>
      </c>
      <c r="M167" s="107" t="n"/>
      <c r="N167" s="108" t="n"/>
      <c r="O167" s="107" t="n"/>
      <c r="P167" s="107" t="n"/>
      <c r="Q167" s="107" t="n"/>
      <c r="R167" s="98">
        <f>IF(COUNT(O167,P167,Q167)=3,O167*P167*Q167,"")</f>
        <v/>
      </c>
      <c r="S167" s="109">
        <f>IF(AND(O167&lt;&gt;"",F167&lt;&gt;"",O167&lt;&gt;F167),"SEVERITY CHANGED","")</f>
        <v/>
      </c>
    </row>
    <row r="168" ht="15" customHeight="1" s="55">
      <c r="A168" s="92" t="n"/>
      <c r="B168" s="92" t="n"/>
      <c r="C168" s="93" t="n"/>
      <c r="D168" s="93" t="n"/>
      <c r="E168" s="93" t="n"/>
      <c r="F168" s="92" t="n"/>
      <c r="G168" s="93" t="n"/>
      <c r="H168" s="92" t="n"/>
      <c r="I168" s="93" t="n"/>
      <c r="J168" s="92" t="n"/>
      <c r="K168" s="98">
        <f>IF(COUNT(F168,H168,J168)=3,F168*H168*J168,"")</f>
        <v/>
      </c>
      <c r="L168" s="106">
        <f>IF(K168="","",IF(OR(F168&gt;=9,K168&gt;=100,AND(F168&gt;=7,J168&gt;=7)),"ACTION REQUIRED","Monitor"))</f>
        <v/>
      </c>
      <c r="M168" s="107" t="n"/>
      <c r="N168" s="108" t="n"/>
      <c r="O168" s="107" t="n"/>
      <c r="P168" s="107" t="n"/>
      <c r="Q168" s="107" t="n"/>
      <c r="R168" s="98">
        <f>IF(COUNT(O168,P168,Q168)=3,O168*P168*Q168,"")</f>
        <v/>
      </c>
      <c r="S168" s="109">
        <f>IF(AND(O168&lt;&gt;"",F168&lt;&gt;"",O168&lt;&gt;F168),"SEVERITY CHANGED","")</f>
        <v/>
      </c>
    </row>
    <row r="169" ht="15" customHeight="1" s="55">
      <c r="A169" s="92" t="n"/>
      <c r="B169" s="92" t="n"/>
      <c r="C169" s="93" t="n"/>
      <c r="D169" s="93" t="n"/>
      <c r="E169" s="93" t="n"/>
      <c r="F169" s="92" t="n"/>
      <c r="G169" s="93" t="n"/>
      <c r="H169" s="92" t="n"/>
      <c r="I169" s="93" t="n"/>
      <c r="J169" s="92" t="n"/>
      <c r="K169" s="98">
        <f>IF(COUNT(F169,H169,J169)=3,F169*H169*J169,"")</f>
        <v/>
      </c>
      <c r="L169" s="106">
        <f>IF(K169="","",IF(OR(F169&gt;=9,K169&gt;=100,AND(F169&gt;=7,J169&gt;=7)),"ACTION REQUIRED","Monitor"))</f>
        <v/>
      </c>
      <c r="M169" s="107" t="n"/>
      <c r="N169" s="108" t="n"/>
      <c r="O169" s="107" t="n"/>
      <c r="P169" s="107" t="n"/>
      <c r="Q169" s="107" t="n"/>
      <c r="R169" s="98">
        <f>IF(COUNT(O169,P169,Q169)=3,O169*P169*Q169,"")</f>
        <v/>
      </c>
      <c r="S169" s="109">
        <f>IF(AND(O169&lt;&gt;"",F169&lt;&gt;"",O169&lt;&gt;F169),"SEVERITY CHANGED","")</f>
        <v/>
      </c>
    </row>
    <row r="170" ht="15" customHeight="1" s="55">
      <c r="A170" s="92" t="n"/>
      <c r="B170" s="92" t="n"/>
      <c r="C170" s="93" t="n"/>
      <c r="D170" s="93" t="n"/>
      <c r="E170" s="93" t="n"/>
      <c r="F170" s="92" t="n"/>
      <c r="G170" s="93" t="n"/>
      <c r="H170" s="92" t="n"/>
      <c r="I170" s="93" t="n"/>
      <c r="J170" s="92" t="n"/>
      <c r="K170" s="98">
        <f>IF(COUNT(F170,H170,J170)=3,F170*H170*J170,"")</f>
        <v/>
      </c>
      <c r="L170" s="106">
        <f>IF(K170="","",IF(OR(F170&gt;=9,K170&gt;=100,AND(F170&gt;=7,J170&gt;=7)),"ACTION REQUIRED","Monitor"))</f>
        <v/>
      </c>
      <c r="M170" s="107" t="n"/>
      <c r="N170" s="108" t="n"/>
      <c r="O170" s="107" t="n"/>
      <c r="P170" s="107" t="n"/>
      <c r="Q170" s="107" t="n"/>
      <c r="R170" s="98">
        <f>IF(COUNT(O170,P170,Q170)=3,O170*P170*Q170,"")</f>
        <v/>
      </c>
      <c r="S170" s="109">
        <f>IF(AND(O170&lt;&gt;"",F170&lt;&gt;"",O170&lt;&gt;F170),"SEVERITY CHANGED","")</f>
        <v/>
      </c>
    </row>
    <row r="171" ht="15" customHeight="1" s="55">
      <c r="A171" s="92" t="n"/>
      <c r="B171" s="92" t="n"/>
      <c r="C171" s="93" t="n"/>
      <c r="D171" s="93" t="n"/>
      <c r="E171" s="93" t="n"/>
      <c r="F171" s="92" t="n"/>
      <c r="G171" s="93" t="n"/>
      <c r="H171" s="92" t="n"/>
      <c r="I171" s="93" t="n"/>
      <c r="J171" s="92" t="n"/>
      <c r="K171" s="98">
        <f>IF(COUNT(F171,H171,J171)=3,F171*H171*J171,"")</f>
        <v/>
      </c>
      <c r="L171" s="106">
        <f>IF(K171="","",IF(OR(F171&gt;=9,K171&gt;=100,AND(F171&gt;=7,J171&gt;=7)),"ACTION REQUIRED","Monitor"))</f>
        <v/>
      </c>
      <c r="M171" s="107" t="n"/>
      <c r="N171" s="108" t="n"/>
      <c r="O171" s="107" t="n"/>
      <c r="P171" s="107" t="n"/>
      <c r="Q171" s="107" t="n"/>
      <c r="R171" s="98">
        <f>IF(COUNT(O171,P171,Q171)=3,O171*P171*Q171,"")</f>
        <v/>
      </c>
      <c r="S171" s="109">
        <f>IF(AND(O171&lt;&gt;"",F171&lt;&gt;"",O171&lt;&gt;F171),"SEVERITY CHANGED","")</f>
        <v/>
      </c>
    </row>
    <row r="172" ht="15" customHeight="1" s="55">
      <c r="A172" s="92" t="n"/>
      <c r="B172" s="92" t="n"/>
      <c r="C172" s="93" t="n"/>
      <c r="D172" s="93" t="n"/>
      <c r="E172" s="93" t="n"/>
      <c r="F172" s="92" t="n"/>
      <c r="G172" s="93" t="n"/>
      <c r="H172" s="92" t="n"/>
      <c r="I172" s="93" t="n"/>
      <c r="J172" s="92" t="n"/>
      <c r="K172" s="98">
        <f>IF(COUNT(F172,H172,J172)=3,F172*H172*J172,"")</f>
        <v/>
      </c>
      <c r="L172" s="106">
        <f>IF(K172="","",IF(OR(F172&gt;=9,K172&gt;=100,AND(F172&gt;=7,J172&gt;=7)),"ACTION REQUIRED","Monitor"))</f>
        <v/>
      </c>
      <c r="M172" s="107" t="n"/>
      <c r="N172" s="108" t="n"/>
      <c r="O172" s="107" t="n"/>
      <c r="P172" s="107" t="n"/>
      <c r="Q172" s="107" t="n"/>
      <c r="R172" s="98">
        <f>IF(COUNT(O172,P172,Q172)=3,O172*P172*Q172,"")</f>
        <v/>
      </c>
      <c r="S172" s="109">
        <f>IF(AND(O172&lt;&gt;"",F172&lt;&gt;"",O172&lt;&gt;F172),"SEVERITY CHANGED","")</f>
        <v/>
      </c>
    </row>
    <row r="173" ht="15" customHeight="1" s="55">
      <c r="A173" s="92" t="n"/>
      <c r="B173" s="92" t="n"/>
      <c r="C173" s="93" t="n"/>
      <c r="D173" s="93" t="n"/>
      <c r="E173" s="93" t="n"/>
      <c r="F173" s="92" t="n"/>
      <c r="G173" s="93" t="n"/>
      <c r="H173" s="92" t="n"/>
      <c r="I173" s="93" t="n"/>
      <c r="J173" s="92" t="n"/>
      <c r="K173" s="98">
        <f>IF(COUNT(F173,H173,J173)=3,F173*H173*J173,"")</f>
        <v/>
      </c>
      <c r="L173" s="106">
        <f>IF(K173="","",IF(OR(F173&gt;=9,K173&gt;=100,AND(F173&gt;=7,J173&gt;=7)),"ACTION REQUIRED","Monitor"))</f>
        <v/>
      </c>
      <c r="M173" s="107" t="n"/>
      <c r="N173" s="108" t="n"/>
      <c r="O173" s="107" t="n"/>
      <c r="P173" s="107" t="n"/>
      <c r="Q173" s="107" t="n"/>
      <c r="R173" s="98">
        <f>IF(COUNT(O173,P173,Q173)=3,O173*P173*Q173,"")</f>
        <v/>
      </c>
      <c r="S173" s="109">
        <f>IF(AND(O173&lt;&gt;"",F173&lt;&gt;"",O173&lt;&gt;F173),"SEVERITY CHANGED","")</f>
        <v/>
      </c>
    </row>
    <row r="174" ht="15" customHeight="1" s="55">
      <c r="A174" s="92" t="n"/>
      <c r="B174" s="92" t="n"/>
      <c r="C174" s="93" t="n"/>
      <c r="D174" s="93" t="n"/>
      <c r="E174" s="93" t="n"/>
      <c r="F174" s="92" t="n"/>
      <c r="G174" s="93" t="n"/>
      <c r="H174" s="92" t="n"/>
      <c r="I174" s="93" t="n"/>
      <c r="J174" s="92" t="n"/>
      <c r="K174" s="98">
        <f>IF(COUNT(F174,H174,J174)=3,F174*H174*J174,"")</f>
        <v/>
      </c>
      <c r="L174" s="106">
        <f>IF(K174="","",IF(OR(F174&gt;=9,K174&gt;=100,AND(F174&gt;=7,J174&gt;=7)),"ACTION REQUIRED","Monitor"))</f>
        <v/>
      </c>
      <c r="M174" s="107" t="n"/>
      <c r="N174" s="108" t="n"/>
      <c r="O174" s="107" t="n"/>
      <c r="P174" s="107" t="n"/>
      <c r="Q174" s="107" t="n"/>
      <c r="R174" s="98">
        <f>IF(COUNT(O174,P174,Q174)=3,O174*P174*Q174,"")</f>
        <v/>
      </c>
      <c r="S174" s="109">
        <f>IF(AND(O174&lt;&gt;"",F174&lt;&gt;"",O174&lt;&gt;F174),"SEVERITY CHANGED","")</f>
        <v/>
      </c>
    </row>
    <row r="175" ht="15" customHeight="1" s="55">
      <c r="A175" s="92" t="n"/>
      <c r="B175" s="92" t="n"/>
      <c r="C175" s="93" t="n"/>
      <c r="D175" s="93" t="n"/>
      <c r="E175" s="93" t="n"/>
      <c r="F175" s="92" t="n"/>
      <c r="G175" s="93" t="n"/>
      <c r="H175" s="92" t="n"/>
      <c r="I175" s="93" t="n"/>
      <c r="J175" s="92" t="n"/>
      <c r="K175" s="98">
        <f>IF(COUNT(F175,H175,J175)=3,F175*H175*J175,"")</f>
        <v/>
      </c>
      <c r="L175" s="106">
        <f>IF(K175="","",IF(OR(F175&gt;=9,K175&gt;=100,AND(F175&gt;=7,J175&gt;=7)),"ACTION REQUIRED","Monitor"))</f>
        <v/>
      </c>
      <c r="M175" s="107" t="n"/>
      <c r="N175" s="108" t="n"/>
      <c r="O175" s="107" t="n"/>
      <c r="P175" s="107" t="n"/>
      <c r="Q175" s="107" t="n"/>
      <c r="R175" s="98">
        <f>IF(COUNT(O175,P175,Q175)=3,O175*P175*Q175,"")</f>
        <v/>
      </c>
      <c r="S175" s="109">
        <f>IF(AND(O175&lt;&gt;"",F175&lt;&gt;"",O175&lt;&gt;F175),"SEVERITY CHANGED","")</f>
        <v/>
      </c>
    </row>
    <row r="176" ht="15" customHeight="1" s="55">
      <c r="A176" s="92" t="n"/>
      <c r="B176" s="92" t="n"/>
      <c r="C176" s="93" t="n"/>
      <c r="D176" s="93" t="n"/>
      <c r="E176" s="93" t="n"/>
      <c r="F176" s="92" t="n"/>
      <c r="G176" s="93" t="n"/>
      <c r="H176" s="92" t="n"/>
      <c r="I176" s="93" t="n"/>
      <c r="J176" s="92" t="n"/>
      <c r="K176" s="98">
        <f>IF(COUNT(F176,H176,J176)=3,F176*H176*J176,"")</f>
        <v/>
      </c>
      <c r="L176" s="106">
        <f>IF(K176="","",IF(OR(F176&gt;=9,K176&gt;=100,AND(F176&gt;=7,J176&gt;=7)),"ACTION REQUIRED","Monitor"))</f>
        <v/>
      </c>
      <c r="M176" s="107" t="n"/>
      <c r="N176" s="108" t="n"/>
      <c r="O176" s="107" t="n"/>
      <c r="P176" s="107" t="n"/>
      <c r="Q176" s="107" t="n"/>
      <c r="R176" s="98">
        <f>IF(COUNT(O176,P176,Q176)=3,O176*P176*Q176,"")</f>
        <v/>
      </c>
      <c r="S176" s="109">
        <f>IF(AND(O176&lt;&gt;"",F176&lt;&gt;"",O176&lt;&gt;F176),"SEVERITY CHANGED","")</f>
        <v/>
      </c>
    </row>
    <row r="177" ht="15" customHeight="1" s="55">
      <c r="A177" s="92" t="n"/>
      <c r="B177" s="92" t="n"/>
      <c r="C177" s="93" t="n"/>
      <c r="D177" s="93" t="n"/>
      <c r="E177" s="93" t="n"/>
      <c r="F177" s="92" t="n"/>
      <c r="G177" s="93" t="n"/>
      <c r="H177" s="92" t="n"/>
      <c r="I177" s="93" t="n"/>
      <c r="J177" s="92" t="n"/>
      <c r="K177" s="98">
        <f>IF(COUNT(F177,H177,J177)=3,F177*H177*J177,"")</f>
        <v/>
      </c>
      <c r="L177" s="106">
        <f>IF(K177="","",IF(OR(F177&gt;=9,K177&gt;=100,AND(F177&gt;=7,J177&gt;=7)),"ACTION REQUIRED","Monitor"))</f>
        <v/>
      </c>
      <c r="M177" s="107" t="n"/>
      <c r="N177" s="108" t="n"/>
      <c r="O177" s="107" t="n"/>
      <c r="P177" s="107" t="n"/>
      <c r="Q177" s="107" t="n"/>
      <c r="R177" s="98">
        <f>IF(COUNT(O177,P177,Q177)=3,O177*P177*Q177,"")</f>
        <v/>
      </c>
      <c r="S177" s="109">
        <f>IF(AND(O177&lt;&gt;"",F177&lt;&gt;"",O177&lt;&gt;F177),"SEVERITY CHANGED","")</f>
        <v/>
      </c>
    </row>
    <row r="178" ht="15" customHeight="1" s="55">
      <c r="A178" s="92" t="n"/>
      <c r="B178" s="92" t="n"/>
      <c r="C178" s="93" t="n"/>
      <c r="D178" s="93" t="n"/>
      <c r="E178" s="93" t="n"/>
      <c r="F178" s="92" t="n"/>
      <c r="G178" s="93" t="n"/>
      <c r="H178" s="92" t="n"/>
      <c r="I178" s="93" t="n"/>
      <c r="J178" s="92" t="n"/>
      <c r="K178" s="98">
        <f>IF(COUNT(F178,H178,J178)=3,F178*H178*J178,"")</f>
        <v/>
      </c>
      <c r="L178" s="106">
        <f>IF(K178="","",IF(OR(F178&gt;=9,K178&gt;=100,AND(F178&gt;=7,J178&gt;=7)),"ACTION REQUIRED","Monitor"))</f>
        <v/>
      </c>
      <c r="M178" s="107" t="n"/>
      <c r="N178" s="108" t="n"/>
      <c r="O178" s="107" t="n"/>
      <c r="P178" s="107" t="n"/>
      <c r="Q178" s="107" t="n"/>
      <c r="R178" s="98">
        <f>IF(COUNT(O178,P178,Q178)=3,O178*P178*Q178,"")</f>
        <v/>
      </c>
      <c r="S178" s="109">
        <f>IF(AND(O178&lt;&gt;"",F178&lt;&gt;"",O178&lt;&gt;F178),"SEVERITY CHANGED","")</f>
        <v/>
      </c>
    </row>
    <row r="179" ht="15" customHeight="1" s="55">
      <c r="A179" s="92" t="n"/>
      <c r="B179" s="92" t="n"/>
      <c r="C179" s="93" t="n"/>
      <c r="D179" s="93" t="n"/>
      <c r="E179" s="93" t="n"/>
      <c r="F179" s="92" t="n"/>
      <c r="G179" s="93" t="n"/>
      <c r="H179" s="92" t="n"/>
      <c r="I179" s="93" t="n"/>
      <c r="J179" s="92" t="n"/>
      <c r="K179" s="98">
        <f>IF(COUNT(F179,H179,J179)=3,F179*H179*J179,"")</f>
        <v/>
      </c>
      <c r="L179" s="106">
        <f>IF(K179="","",IF(OR(F179&gt;=9,K179&gt;=100,AND(F179&gt;=7,J179&gt;=7)),"ACTION REQUIRED","Monitor"))</f>
        <v/>
      </c>
      <c r="M179" s="107" t="n"/>
      <c r="N179" s="108" t="n"/>
      <c r="O179" s="107" t="n"/>
      <c r="P179" s="107" t="n"/>
      <c r="Q179" s="107" t="n"/>
      <c r="R179" s="98">
        <f>IF(COUNT(O179,P179,Q179)=3,O179*P179*Q179,"")</f>
        <v/>
      </c>
      <c r="S179" s="109">
        <f>IF(AND(O179&lt;&gt;"",F179&lt;&gt;"",O179&lt;&gt;F179),"SEVERITY CHANGED","")</f>
        <v/>
      </c>
    </row>
    <row r="180" ht="15" customHeight="1" s="55">
      <c r="A180" s="92" t="n"/>
      <c r="B180" s="92" t="n"/>
      <c r="C180" s="93" t="n"/>
      <c r="D180" s="93" t="n"/>
      <c r="E180" s="93" t="n"/>
      <c r="F180" s="92" t="n"/>
      <c r="G180" s="93" t="n"/>
      <c r="H180" s="92" t="n"/>
      <c r="I180" s="93" t="n"/>
      <c r="J180" s="92" t="n"/>
      <c r="K180" s="98">
        <f>IF(COUNT(F180,H180,J180)=3,F180*H180*J180,"")</f>
        <v/>
      </c>
      <c r="L180" s="106">
        <f>IF(K180="","",IF(OR(F180&gt;=9,K180&gt;=100,AND(F180&gt;=7,J180&gt;=7)),"ACTION REQUIRED","Monitor"))</f>
        <v/>
      </c>
      <c r="M180" s="107" t="n"/>
      <c r="N180" s="108" t="n"/>
      <c r="O180" s="107" t="n"/>
      <c r="P180" s="107" t="n"/>
      <c r="Q180" s="107" t="n"/>
      <c r="R180" s="98">
        <f>IF(COUNT(O180,P180,Q180)=3,O180*P180*Q180,"")</f>
        <v/>
      </c>
      <c r="S180" s="109">
        <f>IF(AND(O180&lt;&gt;"",F180&lt;&gt;"",O180&lt;&gt;F180),"SEVERITY CHANGED","")</f>
        <v/>
      </c>
    </row>
    <row r="181" ht="15" customHeight="1" s="55">
      <c r="A181" s="92" t="n"/>
      <c r="B181" s="92" t="n"/>
      <c r="C181" s="93" t="n"/>
      <c r="D181" s="93" t="n"/>
      <c r="E181" s="93" t="n"/>
      <c r="F181" s="92" t="n"/>
      <c r="G181" s="93" t="n"/>
      <c r="H181" s="92" t="n"/>
      <c r="I181" s="93" t="n"/>
      <c r="J181" s="92" t="n"/>
      <c r="K181" s="98">
        <f>IF(COUNT(F181,H181,J181)=3,F181*H181*J181,"")</f>
        <v/>
      </c>
      <c r="L181" s="106">
        <f>IF(K181="","",IF(OR(F181&gt;=9,K181&gt;=100,AND(F181&gt;=7,J181&gt;=7)),"ACTION REQUIRED","Monitor"))</f>
        <v/>
      </c>
      <c r="M181" s="107" t="n"/>
      <c r="N181" s="108" t="n"/>
      <c r="O181" s="107" t="n"/>
      <c r="P181" s="107" t="n"/>
      <c r="Q181" s="107" t="n"/>
      <c r="R181" s="98">
        <f>IF(COUNT(O181,P181,Q181)=3,O181*P181*Q181,"")</f>
        <v/>
      </c>
      <c r="S181" s="109">
        <f>IF(AND(O181&lt;&gt;"",F181&lt;&gt;"",O181&lt;&gt;F181),"SEVERITY CHANGED","")</f>
        <v/>
      </c>
    </row>
    <row r="182" ht="15" customHeight="1" s="55">
      <c r="A182" s="92" t="n"/>
      <c r="B182" s="92" t="n"/>
      <c r="C182" s="93" t="n"/>
      <c r="D182" s="93" t="n"/>
      <c r="E182" s="93" t="n"/>
      <c r="F182" s="92" t="n"/>
      <c r="G182" s="93" t="n"/>
      <c r="H182" s="92" t="n"/>
      <c r="I182" s="93" t="n"/>
      <c r="J182" s="92" t="n"/>
      <c r="K182" s="98">
        <f>IF(COUNT(F182,H182,J182)=3,F182*H182*J182,"")</f>
        <v/>
      </c>
      <c r="L182" s="106">
        <f>IF(K182="","",IF(OR(F182&gt;=9,K182&gt;=100,AND(F182&gt;=7,J182&gt;=7)),"ACTION REQUIRED","Monitor"))</f>
        <v/>
      </c>
      <c r="M182" s="107" t="n"/>
      <c r="N182" s="108" t="n"/>
      <c r="O182" s="107" t="n"/>
      <c r="P182" s="107" t="n"/>
      <c r="Q182" s="107" t="n"/>
      <c r="R182" s="98">
        <f>IF(COUNT(O182,P182,Q182)=3,O182*P182*Q182,"")</f>
        <v/>
      </c>
      <c r="S182" s="109">
        <f>IF(AND(O182&lt;&gt;"",F182&lt;&gt;"",O182&lt;&gt;F182),"SEVERITY CHANGED","")</f>
        <v/>
      </c>
    </row>
    <row r="183" ht="15" customHeight="1" s="55">
      <c r="A183" s="92" t="n"/>
      <c r="B183" s="92" t="n"/>
      <c r="C183" s="93" t="n"/>
      <c r="D183" s="93" t="n"/>
      <c r="E183" s="93" t="n"/>
      <c r="F183" s="92" t="n"/>
      <c r="G183" s="93" t="n"/>
      <c r="H183" s="92" t="n"/>
      <c r="I183" s="93" t="n"/>
      <c r="J183" s="92" t="n"/>
      <c r="K183" s="98">
        <f>IF(COUNT(F183,H183,J183)=3,F183*H183*J183,"")</f>
        <v/>
      </c>
      <c r="L183" s="106">
        <f>IF(K183="","",IF(OR(F183&gt;=9,K183&gt;=100,AND(F183&gt;=7,J183&gt;=7)),"ACTION REQUIRED","Monitor"))</f>
        <v/>
      </c>
      <c r="M183" s="107" t="n"/>
      <c r="N183" s="108" t="n"/>
      <c r="O183" s="107" t="n"/>
      <c r="P183" s="107" t="n"/>
      <c r="Q183" s="107" t="n"/>
      <c r="R183" s="98">
        <f>IF(COUNT(O183,P183,Q183)=3,O183*P183*Q183,"")</f>
        <v/>
      </c>
      <c r="S183" s="109">
        <f>IF(AND(O183&lt;&gt;"",F183&lt;&gt;"",O183&lt;&gt;F183),"SEVERITY CHANGED","")</f>
        <v/>
      </c>
    </row>
    <row r="184" ht="15" customHeight="1" s="55">
      <c r="A184" s="92" t="n"/>
      <c r="B184" s="92" t="n"/>
      <c r="C184" s="93" t="n"/>
      <c r="D184" s="93" t="n"/>
      <c r="E184" s="93" t="n"/>
      <c r="F184" s="92" t="n"/>
      <c r="G184" s="93" t="n"/>
      <c r="H184" s="92" t="n"/>
      <c r="I184" s="93" t="n"/>
      <c r="J184" s="92" t="n"/>
      <c r="K184" s="98">
        <f>IF(COUNT(F184,H184,J184)=3,F184*H184*J184,"")</f>
        <v/>
      </c>
      <c r="L184" s="106">
        <f>IF(K184="","",IF(OR(F184&gt;=9,K184&gt;=100,AND(F184&gt;=7,J184&gt;=7)),"ACTION REQUIRED","Monitor"))</f>
        <v/>
      </c>
      <c r="M184" s="107" t="n"/>
      <c r="N184" s="108" t="n"/>
      <c r="O184" s="107" t="n"/>
      <c r="P184" s="107" t="n"/>
      <c r="Q184" s="107" t="n"/>
      <c r="R184" s="98">
        <f>IF(COUNT(O184,P184,Q184)=3,O184*P184*Q184,"")</f>
        <v/>
      </c>
      <c r="S184" s="109">
        <f>IF(AND(O184&lt;&gt;"",F184&lt;&gt;"",O184&lt;&gt;F184),"SEVERITY CHANGED","")</f>
        <v/>
      </c>
    </row>
    <row r="185" ht="15" customHeight="1" s="55">
      <c r="A185" s="92" t="n"/>
      <c r="B185" s="92" t="n"/>
      <c r="C185" s="93" t="n"/>
      <c r="D185" s="93" t="n"/>
      <c r="E185" s="93" t="n"/>
      <c r="F185" s="92" t="n"/>
      <c r="G185" s="93" t="n"/>
      <c r="H185" s="92" t="n"/>
      <c r="I185" s="93" t="n"/>
      <c r="J185" s="92" t="n"/>
      <c r="K185" s="98">
        <f>IF(COUNT(F185,H185,J185)=3,F185*H185*J185,"")</f>
        <v/>
      </c>
      <c r="L185" s="106">
        <f>IF(K185="","",IF(OR(F185&gt;=9,K185&gt;=100,AND(F185&gt;=7,J185&gt;=7)),"ACTION REQUIRED","Monitor"))</f>
        <v/>
      </c>
      <c r="M185" s="107" t="n"/>
      <c r="N185" s="108" t="n"/>
      <c r="O185" s="107" t="n"/>
      <c r="P185" s="107" t="n"/>
      <c r="Q185" s="107" t="n"/>
      <c r="R185" s="98">
        <f>IF(COUNT(O185,P185,Q185)=3,O185*P185*Q185,"")</f>
        <v/>
      </c>
      <c r="S185" s="109">
        <f>IF(AND(O185&lt;&gt;"",F185&lt;&gt;"",O185&lt;&gt;F185),"SEVERITY CHANGED","")</f>
        <v/>
      </c>
    </row>
    <row r="186" ht="15" customHeight="1" s="55">
      <c r="A186" s="92" t="n"/>
      <c r="B186" s="92" t="n"/>
      <c r="C186" s="93" t="n"/>
      <c r="D186" s="93" t="n"/>
      <c r="E186" s="93" t="n"/>
      <c r="F186" s="92" t="n"/>
      <c r="G186" s="93" t="n"/>
      <c r="H186" s="92" t="n"/>
      <c r="I186" s="93" t="n"/>
      <c r="J186" s="92" t="n"/>
      <c r="K186" s="98">
        <f>IF(COUNT(F186,H186,J186)=3,F186*H186*J186,"")</f>
        <v/>
      </c>
      <c r="L186" s="106">
        <f>IF(K186="","",IF(OR(F186&gt;=9,K186&gt;=100,AND(F186&gt;=7,J186&gt;=7)),"ACTION REQUIRED","Monitor"))</f>
        <v/>
      </c>
      <c r="M186" s="107" t="n"/>
      <c r="N186" s="108" t="n"/>
      <c r="O186" s="107" t="n"/>
      <c r="P186" s="107" t="n"/>
      <c r="Q186" s="107" t="n"/>
      <c r="R186" s="98">
        <f>IF(COUNT(O186,P186,Q186)=3,O186*P186*Q186,"")</f>
        <v/>
      </c>
      <c r="S186" s="109">
        <f>IF(AND(O186&lt;&gt;"",F186&lt;&gt;"",O186&lt;&gt;F186),"SEVERITY CHANGED","")</f>
        <v/>
      </c>
    </row>
    <row r="187" ht="15" customHeight="1" s="55">
      <c r="A187" s="92" t="n"/>
      <c r="B187" s="92" t="n"/>
      <c r="C187" s="93" t="n"/>
      <c r="D187" s="93" t="n"/>
      <c r="E187" s="93" t="n"/>
      <c r="F187" s="92" t="n"/>
      <c r="G187" s="93" t="n"/>
      <c r="H187" s="92" t="n"/>
      <c r="I187" s="93" t="n"/>
      <c r="J187" s="92" t="n"/>
      <c r="K187" s="98">
        <f>IF(COUNT(F187,H187,J187)=3,F187*H187*J187,"")</f>
        <v/>
      </c>
      <c r="L187" s="106">
        <f>IF(K187="","",IF(OR(F187&gt;=9,K187&gt;=100,AND(F187&gt;=7,J187&gt;=7)),"ACTION REQUIRED","Monitor"))</f>
        <v/>
      </c>
      <c r="M187" s="107" t="n"/>
      <c r="N187" s="108" t="n"/>
      <c r="O187" s="107" t="n"/>
      <c r="P187" s="107" t="n"/>
      <c r="Q187" s="107" t="n"/>
      <c r="R187" s="98">
        <f>IF(COUNT(O187,P187,Q187)=3,O187*P187*Q187,"")</f>
        <v/>
      </c>
      <c r="S187" s="109">
        <f>IF(AND(O187&lt;&gt;"",F187&lt;&gt;"",O187&lt;&gt;F187),"SEVERITY CHANGED","")</f>
        <v/>
      </c>
    </row>
    <row r="188" ht="15" customHeight="1" s="55">
      <c r="A188" s="92" t="n"/>
      <c r="B188" s="92" t="n"/>
      <c r="C188" s="93" t="n"/>
      <c r="D188" s="93" t="n"/>
      <c r="E188" s="93" t="n"/>
      <c r="F188" s="92" t="n"/>
      <c r="G188" s="93" t="n"/>
      <c r="H188" s="92" t="n"/>
      <c r="I188" s="93" t="n"/>
      <c r="J188" s="92" t="n"/>
      <c r="K188" s="98">
        <f>IF(COUNT(F188,H188,J188)=3,F188*H188*J188,"")</f>
        <v/>
      </c>
      <c r="L188" s="106">
        <f>IF(K188="","",IF(OR(F188&gt;=9,K188&gt;=100,AND(F188&gt;=7,J188&gt;=7)),"ACTION REQUIRED","Monitor"))</f>
        <v/>
      </c>
      <c r="M188" s="107" t="n"/>
      <c r="N188" s="108" t="n"/>
      <c r="O188" s="107" t="n"/>
      <c r="P188" s="107" t="n"/>
      <c r="Q188" s="107" t="n"/>
      <c r="R188" s="98">
        <f>IF(COUNT(O188,P188,Q188)=3,O188*P188*Q188,"")</f>
        <v/>
      </c>
      <c r="S188" s="109">
        <f>IF(AND(O188&lt;&gt;"",F188&lt;&gt;"",O188&lt;&gt;F188),"SEVERITY CHANGED","")</f>
        <v/>
      </c>
    </row>
    <row r="189" ht="15" customHeight="1" s="55">
      <c r="A189" s="92" t="n"/>
      <c r="B189" s="92" t="n"/>
      <c r="C189" s="93" t="n"/>
      <c r="D189" s="93" t="n"/>
      <c r="E189" s="93" t="n"/>
      <c r="F189" s="92" t="n"/>
      <c r="G189" s="93" t="n"/>
      <c r="H189" s="92" t="n"/>
      <c r="I189" s="93" t="n"/>
      <c r="J189" s="92" t="n"/>
      <c r="K189" s="98">
        <f>IF(COUNT(F189,H189,J189)=3,F189*H189*J189,"")</f>
        <v/>
      </c>
      <c r="L189" s="106">
        <f>IF(K189="","",IF(OR(F189&gt;=9,K189&gt;=100,AND(F189&gt;=7,J189&gt;=7)),"ACTION REQUIRED","Monitor"))</f>
        <v/>
      </c>
      <c r="M189" s="107" t="n"/>
      <c r="N189" s="108" t="n"/>
      <c r="O189" s="107" t="n"/>
      <c r="P189" s="107" t="n"/>
      <c r="Q189" s="107" t="n"/>
      <c r="R189" s="98">
        <f>IF(COUNT(O189,P189,Q189)=3,O189*P189*Q189,"")</f>
        <v/>
      </c>
      <c r="S189" s="109">
        <f>IF(AND(O189&lt;&gt;"",F189&lt;&gt;"",O189&lt;&gt;F189),"SEVERITY CHANGED","")</f>
        <v/>
      </c>
    </row>
    <row r="190" ht="15" customHeight="1" s="55">
      <c r="A190" s="92" t="n"/>
      <c r="B190" s="92" t="n"/>
      <c r="C190" s="93" t="n"/>
      <c r="D190" s="93" t="n"/>
      <c r="E190" s="93" t="n"/>
      <c r="F190" s="92" t="n"/>
      <c r="G190" s="93" t="n"/>
      <c r="H190" s="92" t="n"/>
      <c r="I190" s="93" t="n"/>
      <c r="J190" s="92" t="n"/>
      <c r="K190" s="98">
        <f>IF(COUNT(F190,H190,J190)=3,F190*H190*J190,"")</f>
        <v/>
      </c>
      <c r="L190" s="106">
        <f>IF(K190="","",IF(OR(F190&gt;=9,K190&gt;=100,AND(F190&gt;=7,J190&gt;=7)),"ACTION REQUIRED","Monitor"))</f>
        <v/>
      </c>
      <c r="M190" s="107" t="n"/>
      <c r="N190" s="108" t="n"/>
      <c r="O190" s="107" t="n"/>
      <c r="P190" s="107" t="n"/>
      <c r="Q190" s="107" t="n"/>
      <c r="R190" s="98">
        <f>IF(COUNT(O190,P190,Q190)=3,O190*P190*Q190,"")</f>
        <v/>
      </c>
      <c r="S190" s="109">
        <f>IF(AND(O190&lt;&gt;"",F190&lt;&gt;"",O190&lt;&gt;F190),"SEVERITY CHANGED","")</f>
        <v/>
      </c>
    </row>
    <row r="191" ht="15" customHeight="1" s="55">
      <c r="A191" s="92" t="n"/>
      <c r="B191" s="92" t="n"/>
      <c r="C191" s="93" t="n"/>
      <c r="D191" s="93" t="n"/>
      <c r="E191" s="93" t="n"/>
      <c r="F191" s="92" t="n"/>
      <c r="G191" s="93" t="n"/>
      <c r="H191" s="92" t="n"/>
      <c r="I191" s="93" t="n"/>
      <c r="J191" s="92" t="n"/>
      <c r="K191" s="98">
        <f>IF(COUNT(F191,H191,J191)=3,F191*H191*J191,"")</f>
        <v/>
      </c>
      <c r="L191" s="106">
        <f>IF(K191="","",IF(OR(F191&gt;=9,K191&gt;=100,AND(F191&gt;=7,J191&gt;=7)),"ACTION REQUIRED","Monitor"))</f>
        <v/>
      </c>
      <c r="M191" s="107" t="n"/>
      <c r="N191" s="108" t="n"/>
      <c r="O191" s="107" t="n"/>
      <c r="P191" s="107" t="n"/>
      <c r="Q191" s="107" t="n"/>
      <c r="R191" s="98">
        <f>IF(COUNT(O191,P191,Q191)=3,O191*P191*Q191,"")</f>
        <v/>
      </c>
      <c r="S191" s="109">
        <f>IF(AND(O191&lt;&gt;"",F191&lt;&gt;"",O191&lt;&gt;F191),"SEVERITY CHANGED","")</f>
        <v/>
      </c>
    </row>
    <row r="192" ht="15" customHeight="1" s="55">
      <c r="A192" s="92" t="n"/>
      <c r="B192" s="92" t="n"/>
      <c r="C192" s="93" t="n"/>
      <c r="D192" s="93" t="n"/>
      <c r="E192" s="93" t="n"/>
      <c r="F192" s="92" t="n"/>
      <c r="G192" s="93" t="n"/>
      <c r="H192" s="92" t="n"/>
      <c r="I192" s="93" t="n"/>
      <c r="J192" s="92" t="n"/>
      <c r="K192" s="98">
        <f>IF(COUNT(F192,H192,J192)=3,F192*H192*J192,"")</f>
        <v/>
      </c>
      <c r="L192" s="106">
        <f>IF(K192="","",IF(OR(F192&gt;=9,K192&gt;=100,AND(F192&gt;=7,J192&gt;=7)),"ACTION REQUIRED","Monitor"))</f>
        <v/>
      </c>
      <c r="M192" s="107" t="n"/>
      <c r="N192" s="108" t="n"/>
      <c r="O192" s="107" t="n"/>
      <c r="P192" s="107" t="n"/>
      <c r="Q192" s="107" t="n"/>
      <c r="R192" s="98">
        <f>IF(COUNT(O192,P192,Q192)=3,O192*P192*Q192,"")</f>
        <v/>
      </c>
      <c r="S192" s="109">
        <f>IF(AND(O192&lt;&gt;"",F192&lt;&gt;"",O192&lt;&gt;F192),"SEVERITY CHANGED","")</f>
        <v/>
      </c>
    </row>
    <row r="193" ht="15" customHeight="1" s="55">
      <c r="A193" s="92" t="n"/>
      <c r="B193" s="92" t="n"/>
      <c r="C193" s="93" t="n"/>
      <c r="D193" s="93" t="n"/>
      <c r="E193" s="93" t="n"/>
      <c r="F193" s="92" t="n"/>
      <c r="G193" s="93" t="n"/>
      <c r="H193" s="92" t="n"/>
      <c r="I193" s="93" t="n"/>
      <c r="J193" s="92" t="n"/>
      <c r="K193" s="98">
        <f>IF(COUNT(F193,H193,J193)=3,F193*H193*J193,"")</f>
        <v/>
      </c>
      <c r="L193" s="106">
        <f>IF(K193="","",IF(OR(F193&gt;=9,K193&gt;=100,AND(F193&gt;=7,J193&gt;=7)),"ACTION REQUIRED","Monitor"))</f>
        <v/>
      </c>
      <c r="M193" s="107" t="n"/>
      <c r="N193" s="108" t="n"/>
      <c r="O193" s="107" t="n"/>
      <c r="P193" s="107" t="n"/>
      <c r="Q193" s="107" t="n"/>
      <c r="R193" s="98">
        <f>IF(COUNT(O193,P193,Q193)=3,O193*P193*Q193,"")</f>
        <v/>
      </c>
      <c r="S193" s="109">
        <f>IF(AND(O193&lt;&gt;"",F193&lt;&gt;"",O193&lt;&gt;F193),"SEVERITY CHANGED","")</f>
        <v/>
      </c>
    </row>
    <row r="194" ht="15" customHeight="1" s="55">
      <c r="A194" s="92" t="n"/>
      <c r="B194" s="92" t="n"/>
      <c r="C194" s="93" t="n"/>
      <c r="D194" s="93" t="n"/>
      <c r="E194" s="93" t="n"/>
      <c r="F194" s="92" t="n"/>
      <c r="G194" s="93" t="n"/>
      <c r="H194" s="92" t="n"/>
      <c r="I194" s="93" t="n"/>
      <c r="J194" s="92" t="n"/>
      <c r="K194" s="98">
        <f>IF(COUNT(F194,H194,J194)=3,F194*H194*J194,"")</f>
        <v/>
      </c>
      <c r="L194" s="106">
        <f>IF(K194="","",IF(OR(F194&gt;=9,K194&gt;=100,AND(F194&gt;=7,J194&gt;=7)),"ACTION REQUIRED","Monitor"))</f>
        <v/>
      </c>
      <c r="M194" s="107" t="n"/>
      <c r="N194" s="108" t="n"/>
      <c r="O194" s="107" t="n"/>
      <c r="P194" s="107" t="n"/>
      <c r="Q194" s="107" t="n"/>
      <c r="R194" s="98">
        <f>IF(COUNT(O194,P194,Q194)=3,O194*P194*Q194,"")</f>
        <v/>
      </c>
      <c r="S194" s="109">
        <f>IF(AND(O194&lt;&gt;"",F194&lt;&gt;"",O194&lt;&gt;F194),"SEVERITY CHANGED","")</f>
        <v/>
      </c>
    </row>
    <row r="195" ht="15" customHeight="1" s="55">
      <c r="A195" s="92" t="n"/>
      <c r="B195" s="92" t="n"/>
      <c r="C195" s="93" t="n"/>
      <c r="D195" s="93" t="n"/>
      <c r="E195" s="93" t="n"/>
      <c r="F195" s="92" t="n"/>
      <c r="G195" s="93" t="n"/>
      <c r="H195" s="92" t="n"/>
      <c r="I195" s="93" t="n"/>
      <c r="J195" s="92" t="n"/>
      <c r="K195" s="98">
        <f>IF(COUNT(F195,H195,J195)=3,F195*H195*J195,"")</f>
        <v/>
      </c>
      <c r="L195" s="106">
        <f>IF(K195="","",IF(OR(F195&gt;=9,K195&gt;=100,AND(F195&gt;=7,J195&gt;=7)),"ACTION REQUIRED","Monitor"))</f>
        <v/>
      </c>
      <c r="M195" s="107" t="n"/>
      <c r="N195" s="108" t="n"/>
      <c r="O195" s="107" t="n"/>
      <c r="P195" s="107" t="n"/>
      <c r="Q195" s="107" t="n"/>
      <c r="R195" s="98">
        <f>IF(COUNT(O195,P195,Q195)=3,O195*P195*Q195,"")</f>
        <v/>
      </c>
      <c r="S195" s="109">
        <f>IF(AND(O195&lt;&gt;"",F195&lt;&gt;"",O195&lt;&gt;F195),"SEVERITY CHANGED","")</f>
        <v/>
      </c>
    </row>
    <row r="196" ht="15" customHeight="1" s="55">
      <c r="A196" s="92" t="n"/>
      <c r="B196" s="92" t="n"/>
      <c r="C196" s="93" t="n"/>
      <c r="D196" s="93" t="n"/>
      <c r="E196" s="93" t="n"/>
      <c r="F196" s="92" t="n"/>
      <c r="G196" s="93" t="n"/>
      <c r="H196" s="92" t="n"/>
      <c r="I196" s="93" t="n"/>
      <c r="J196" s="92" t="n"/>
      <c r="K196" s="98">
        <f>IF(COUNT(F196,H196,J196)=3,F196*H196*J196,"")</f>
        <v/>
      </c>
      <c r="L196" s="106">
        <f>IF(K196="","",IF(OR(F196&gt;=9,K196&gt;=100,AND(F196&gt;=7,J196&gt;=7)),"ACTION REQUIRED","Monitor"))</f>
        <v/>
      </c>
      <c r="M196" s="107" t="n"/>
      <c r="N196" s="108" t="n"/>
      <c r="O196" s="107" t="n"/>
      <c r="P196" s="107" t="n"/>
      <c r="Q196" s="107" t="n"/>
      <c r="R196" s="98">
        <f>IF(COUNT(O196,P196,Q196)=3,O196*P196*Q196,"")</f>
        <v/>
      </c>
      <c r="S196" s="109">
        <f>IF(AND(O196&lt;&gt;"",F196&lt;&gt;"",O196&lt;&gt;F196),"SEVERITY CHANGED","")</f>
        <v/>
      </c>
    </row>
    <row r="197" ht="15" customHeight="1" s="55">
      <c r="A197" s="92" t="n"/>
      <c r="B197" s="92" t="n"/>
      <c r="C197" s="93" t="n"/>
      <c r="D197" s="93" t="n"/>
      <c r="E197" s="93" t="n"/>
      <c r="F197" s="92" t="n"/>
      <c r="G197" s="93" t="n"/>
      <c r="H197" s="92" t="n"/>
      <c r="I197" s="93" t="n"/>
      <c r="J197" s="92" t="n"/>
      <c r="K197" s="98">
        <f>IF(COUNT(F197,H197,J197)=3,F197*H197*J197,"")</f>
        <v/>
      </c>
      <c r="L197" s="106">
        <f>IF(K197="","",IF(OR(F197&gt;=9,K197&gt;=100,AND(F197&gt;=7,J197&gt;=7)),"ACTION REQUIRED","Monitor"))</f>
        <v/>
      </c>
      <c r="M197" s="107" t="n"/>
      <c r="N197" s="108" t="n"/>
      <c r="O197" s="107" t="n"/>
      <c r="P197" s="107" t="n"/>
      <c r="Q197" s="107" t="n"/>
      <c r="R197" s="98">
        <f>IF(COUNT(O197,P197,Q197)=3,O197*P197*Q197,"")</f>
        <v/>
      </c>
      <c r="S197" s="109">
        <f>IF(AND(O197&lt;&gt;"",F197&lt;&gt;"",O197&lt;&gt;F197),"SEVERITY CHANGED","")</f>
        <v/>
      </c>
    </row>
    <row r="198" ht="15" customHeight="1" s="55">
      <c r="A198" s="92" t="n"/>
      <c r="B198" s="92" t="n"/>
      <c r="C198" s="93" t="n"/>
      <c r="D198" s="93" t="n"/>
      <c r="E198" s="93" t="n"/>
      <c r="F198" s="92" t="n"/>
      <c r="G198" s="93" t="n"/>
      <c r="H198" s="92" t="n"/>
      <c r="I198" s="93" t="n"/>
      <c r="J198" s="92" t="n"/>
      <c r="K198" s="98">
        <f>IF(COUNT(F198,H198,J198)=3,F198*H198*J198,"")</f>
        <v/>
      </c>
      <c r="L198" s="106">
        <f>IF(K198="","",IF(OR(F198&gt;=9,K198&gt;=100,AND(F198&gt;=7,J198&gt;=7)),"ACTION REQUIRED","Monitor"))</f>
        <v/>
      </c>
      <c r="M198" s="107" t="n"/>
      <c r="N198" s="108" t="n"/>
      <c r="O198" s="107" t="n"/>
      <c r="P198" s="107" t="n"/>
      <c r="Q198" s="107" t="n"/>
      <c r="R198" s="98">
        <f>IF(COUNT(O198,P198,Q198)=3,O198*P198*Q198,"")</f>
        <v/>
      </c>
      <c r="S198" s="109">
        <f>IF(AND(O198&lt;&gt;"",F198&lt;&gt;"",O198&lt;&gt;F198),"SEVERITY CHANGED","")</f>
        <v/>
      </c>
    </row>
    <row r="199" ht="15" customHeight="1" s="55">
      <c r="A199" s="92" t="n"/>
      <c r="B199" s="92" t="n"/>
      <c r="C199" s="93" t="n"/>
      <c r="D199" s="93" t="n"/>
      <c r="E199" s="93" t="n"/>
      <c r="F199" s="92" t="n"/>
      <c r="G199" s="93" t="n"/>
      <c r="H199" s="92" t="n"/>
      <c r="I199" s="93" t="n"/>
      <c r="J199" s="92" t="n"/>
      <c r="K199" s="98">
        <f>IF(COUNT(F199,H199,J199)=3,F199*H199*J199,"")</f>
        <v/>
      </c>
      <c r="L199" s="106">
        <f>IF(K199="","",IF(OR(F199&gt;=9,K199&gt;=100,AND(F199&gt;=7,J199&gt;=7)),"ACTION REQUIRED","Monitor"))</f>
        <v/>
      </c>
      <c r="M199" s="107" t="n"/>
      <c r="N199" s="108" t="n"/>
      <c r="O199" s="107" t="n"/>
      <c r="P199" s="107" t="n"/>
      <c r="Q199" s="107" t="n"/>
      <c r="R199" s="98">
        <f>IF(COUNT(O199,P199,Q199)=3,O199*P199*Q199,"")</f>
        <v/>
      </c>
      <c r="S199" s="109">
        <f>IF(AND(O199&lt;&gt;"",F199&lt;&gt;"",O199&lt;&gt;F199),"SEVERITY CHANGED","")</f>
        <v/>
      </c>
    </row>
    <row r="200" ht="15" customHeight="1" s="55">
      <c r="A200" s="92" t="n"/>
      <c r="B200" s="92" t="n"/>
      <c r="C200" s="93" t="n"/>
      <c r="D200" s="93" t="n"/>
      <c r="E200" s="93" t="n"/>
      <c r="F200" s="92" t="n"/>
      <c r="G200" s="93" t="n"/>
      <c r="H200" s="92" t="n"/>
      <c r="I200" s="93" t="n"/>
      <c r="J200" s="92" t="n"/>
      <c r="K200" s="98">
        <f>IF(COUNT(F200,H200,J200)=3,F200*H200*J200,"")</f>
        <v/>
      </c>
      <c r="L200" s="106">
        <f>IF(K200="","",IF(OR(F200&gt;=9,K200&gt;=100,AND(F200&gt;=7,J200&gt;=7)),"ACTION REQUIRED","Monitor"))</f>
        <v/>
      </c>
      <c r="M200" s="107" t="n"/>
      <c r="N200" s="108" t="n"/>
      <c r="O200" s="107" t="n"/>
      <c r="P200" s="107" t="n"/>
      <c r="Q200" s="107" t="n"/>
      <c r="R200" s="98">
        <f>IF(COUNT(O200,P200,Q200)=3,O200*P200*Q200,"")</f>
        <v/>
      </c>
      <c r="S200" s="109">
        <f>IF(AND(O200&lt;&gt;"",F200&lt;&gt;"",O200&lt;&gt;F200),"SEVERITY CHANGED","")</f>
        <v/>
      </c>
    </row>
    <row r="201" ht="15" customHeight="1" s="55">
      <c r="A201" s="92" t="n"/>
      <c r="B201" s="92" t="n"/>
      <c r="C201" s="93" t="n"/>
      <c r="D201" s="93" t="n"/>
      <c r="E201" s="93" t="n"/>
      <c r="F201" s="92" t="n"/>
      <c r="G201" s="93" t="n"/>
      <c r="H201" s="92" t="n"/>
      <c r="I201" s="93" t="n"/>
      <c r="J201" s="92" t="n"/>
      <c r="K201" s="98">
        <f>IF(COUNT(F201,H201,J201)=3,F201*H201*J201,"")</f>
        <v/>
      </c>
      <c r="L201" s="106">
        <f>IF(K201="","",IF(OR(F201&gt;=9,K201&gt;=100,AND(F201&gt;=7,J201&gt;=7)),"ACTION REQUIRED","Monitor"))</f>
        <v/>
      </c>
      <c r="M201" s="107" t="n"/>
      <c r="N201" s="108" t="n"/>
      <c r="O201" s="107" t="n"/>
      <c r="P201" s="107" t="n"/>
      <c r="Q201" s="107" t="n"/>
      <c r="R201" s="98">
        <f>IF(COUNT(O201,P201,Q201)=3,O201*P201*Q201,"")</f>
        <v/>
      </c>
      <c r="S201" s="109">
        <f>IF(AND(O201&lt;&gt;"",F201&lt;&gt;"",O201&lt;&gt;F201),"SEVERITY CHANGED","")</f>
        <v/>
      </c>
    </row>
    <row r="202" ht="15" customHeight="1" s="55">
      <c r="A202" s="92" t="n"/>
      <c r="B202" s="92" t="n"/>
      <c r="C202" s="93" t="n"/>
      <c r="D202" s="93" t="n"/>
      <c r="E202" s="93" t="n"/>
      <c r="F202" s="92" t="n"/>
      <c r="G202" s="93" t="n"/>
      <c r="H202" s="92" t="n"/>
      <c r="I202" s="93" t="n"/>
      <c r="J202" s="92" t="n"/>
      <c r="K202" s="98">
        <f>IF(COUNT(F202,H202,J202)=3,F202*H202*J202,"")</f>
        <v/>
      </c>
      <c r="L202" s="106">
        <f>IF(K202="","",IF(OR(F202&gt;=9,K202&gt;=100,AND(F202&gt;=7,J202&gt;=7)),"ACTION REQUIRED","Monitor"))</f>
        <v/>
      </c>
      <c r="M202" s="107" t="n"/>
      <c r="N202" s="108" t="n"/>
      <c r="O202" s="107" t="n"/>
      <c r="P202" s="107" t="n"/>
      <c r="Q202" s="107" t="n"/>
      <c r="R202" s="98">
        <f>IF(COUNT(O202,P202,Q202)=3,O202*P202*Q202,"")</f>
        <v/>
      </c>
      <c r="S202" s="109">
        <f>IF(AND(O202&lt;&gt;"",F202&lt;&gt;"",O202&lt;&gt;F202),"SEVERITY CHANGED","")</f>
        <v/>
      </c>
    </row>
    <row r="203" ht="15" customHeight="1" s="55">
      <c r="A203" s="92" t="n"/>
      <c r="B203" s="92" t="n"/>
      <c r="C203" s="93" t="n"/>
      <c r="D203" s="93" t="n"/>
      <c r="E203" s="93" t="n"/>
      <c r="F203" s="92" t="n"/>
      <c r="G203" s="93" t="n"/>
      <c r="H203" s="92" t="n"/>
      <c r="I203" s="93" t="n"/>
      <c r="J203" s="92" t="n"/>
      <c r="K203" s="98">
        <f>IF(COUNT(F203,H203,J203)=3,F203*H203*J203,"")</f>
        <v/>
      </c>
      <c r="L203" s="106">
        <f>IF(K203="","",IF(OR(F203&gt;=9,K203&gt;=100,AND(F203&gt;=7,J203&gt;=7)),"ACTION REQUIRED","Monitor"))</f>
        <v/>
      </c>
      <c r="M203" s="107" t="n"/>
      <c r="N203" s="108" t="n"/>
      <c r="O203" s="107" t="n"/>
      <c r="P203" s="107" t="n"/>
      <c r="Q203" s="107" t="n"/>
      <c r="R203" s="98">
        <f>IF(COUNT(O203,P203,Q203)=3,O203*P203*Q203,"")</f>
        <v/>
      </c>
      <c r="S203" s="109">
        <f>IF(AND(O203&lt;&gt;"",F203&lt;&gt;"",O203&lt;&gt;F203),"SEVERITY CHANGED","")</f>
        <v/>
      </c>
    </row>
    <row r="204" ht="15" customHeight="1" s="55">
      <c r="A204" s="92" t="n"/>
      <c r="B204" s="92" t="n"/>
      <c r="C204" s="93" t="n"/>
      <c r="D204" s="93" t="n"/>
      <c r="E204" s="93" t="n"/>
      <c r="F204" s="92" t="n"/>
      <c r="G204" s="93" t="n"/>
      <c r="H204" s="92" t="n"/>
      <c r="I204" s="93" t="n"/>
      <c r="J204" s="92" t="n"/>
      <c r="K204" s="98">
        <f>IF(COUNT(F204,H204,J204)=3,F204*H204*J204,"")</f>
        <v/>
      </c>
      <c r="L204" s="106">
        <f>IF(K204="","",IF(OR(F204&gt;=9,K204&gt;=100,AND(F204&gt;=7,J204&gt;=7)),"ACTION REQUIRED","Monitor"))</f>
        <v/>
      </c>
      <c r="M204" s="107" t="n"/>
      <c r="N204" s="108" t="n"/>
      <c r="O204" s="107" t="n"/>
      <c r="P204" s="107" t="n"/>
      <c r="Q204" s="107" t="n"/>
      <c r="R204" s="98">
        <f>IF(COUNT(O204,P204,Q204)=3,O204*P204*Q204,"")</f>
        <v/>
      </c>
      <c r="S204" s="109">
        <f>IF(AND(O204&lt;&gt;"",F204&lt;&gt;"",O204&lt;&gt;F204),"SEVERITY CHANGED","")</f>
        <v/>
      </c>
    </row>
  </sheetData>
  <sheetProtection selectLockedCells="0" selectUnlockedCells="0" sheet="1" objects="0" insertRows="1" insertHyperlinks="1" autoFilter="1" scenarios="0" formatColumns="1" deleteColumns="1" insertColumns="1" pivotTables="1" deleteRows="1" formatCells="1" formatRows="1" sort="1"/>
  <autoFilter ref="A4:S204"/>
  <mergeCells count="2">
    <mergeCell ref="A2:S2"/>
    <mergeCell ref="A1:S1"/>
  </mergeCells>
  <conditionalFormatting sqref="L5:L204">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204">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204">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204">
    <cfRule type="expression" rank="0" priority="9" equalAverage="0" aboveAverage="0" dxfId="8" text="" percent="0" bottom="0">
      <formula>$S5&lt;&gt;""</formula>
    </cfRule>
  </conditionalFormatting>
  <dataValidations count="1">
    <dataValidation sqref="F5:F204 H5:H204 J5:J204 O5:Q204"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L12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85" min="1" max="2"/>
    <col width="44" customWidth="1" style="85" min="3" max="3"/>
    <col width="18" customWidth="1" style="85" min="4" max="4"/>
    <col width="16" customWidth="1" style="85" min="5" max="5"/>
    <col width="11" customWidth="1" style="85" min="6" max="7"/>
    <col width="14" customWidth="1" style="85" min="8" max="8"/>
    <col width="30" customWidth="1" style="85" min="9" max="9"/>
    <col width="26" customWidth="1" style="85" min="10" max="12"/>
  </cols>
  <sheetData>
    <row r="1" ht="25.5" customHeight="1" s="55">
      <c r="A1" s="86" t="inlineStr">
        <is>
          <t>ACTION PLAN AND EFFECTIVENESS VERIFICATION</t>
        </is>
      </c>
    </row>
    <row r="2" ht="15.75" customHeight="1" s="55">
      <c r="A2" s="87" t="inlineStr">
        <is>
          <t>The four verification fields are completed when the action is RAISED, not when it closes.</t>
        </is>
      </c>
    </row>
    <row r="3"/>
    <row r="4" ht="30" customHeight="1" s="55">
      <c r="A4" s="91" t="inlineStr">
        <is>
          <t>Action ID</t>
        </is>
      </c>
      <c r="B4" s="91" t="inlineStr">
        <is>
          <t>Risk ID</t>
        </is>
      </c>
      <c r="C4" s="91" t="inlineStr">
        <is>
          <t>Action taken</t>
        </is>
      </c>
      <c r="D4" s="91" t="inlineStr">
        <is>
          <t>Hierarchy level</t>
        </is>
      </c>
      <c r="E4" s="91" t="inlineStr">
        <is>
          <t>Owner (name)</t>
        </is>
      </c>
      <c r="F4" s="91" t="inlineStr">
        <is>
          <t>Raised</t>
        </is>
      </c>
      <c r="G4" s="91" t="inlineStr">
        <is>
          <t>Due</t>
        </is>
      </c>
      <c r="H4" s="91" t="inlineStr">
        <is>
          <t>NCR / CAPA link</t>
        </is>
      </c>
      <c r="I4" s="91" t="inlineStr">
        <is>
          <t>Verification method</t>
        </is>
      </c>
      <c r="J4" s="91" t="inlineStr">
        <is>
          <t>Baseline (rate and quantity)</t>
        </is>
      </c>
      <c r="K4" s="91" t="inlineStr">
        <is>
          <t>Success criterion</t>
        </is>
      </c>
      <c r="L4" s="91" t="inlineStr">
        <is>
          <t>Result and date</t>
        </is>
      </c>
    </row>
    <row r="5" ht="31.5" customHeight="1" s="55">
      <c r="A5" s="92" t="n"/>
      <c r="B5" s="92" t="n"/>
      <c r="C5" s="93" t="n"/>
      <c r="D5" s="93" t="n"/>
      <c r="E5" s="93" t="n"/>
      <c r="F5" s="110" t="n"/>
      <c r="G5" s="110" t="n"/>
      <c r="H5" s="93" t="n"/>
      <c r="I5" s="93" t="n"/>
      <c r="J5" s="93" t="n"/>
      <c r="K5" s="93" t="n"/>
      <c r="L5" s="93" t="n"/>
    </row>
    <row r="6" ht="31.5" customHeight="1" s="55">
      <c r="A6" s="94" t="n"/>
      <c r="B6" s="94" t="n"/>
      <c r="C6" s="95" t="n"/>
      <c r="D6" s="95" t="n"/>
      <c r="E6" s="95" t="n"/>
      <c r="F6" s="111" t="n"/>
      <c r="G6" s="111" t="n"/>
      <c r="H6" s="95" t="n"/>
      <c r="I6" s="95" t="n"/>
      <c r="J6" s="95" t="n"/>
      <c r="K6" s="95" t="n"/>
      <c r="L6" s="95" t="n"/>
    </row>
    <row r="7" ht="31.5" customHeight="1" s="55">
      <c r="A7" s="92" t="n"/>
      <c r="B7" s="92" t="n"/>
      <c r="C7" s="93" t="n"/>
      <c r="D7" s="93" t="n"/>
      <c r="E7" s="93" t="n"/>
      <c r="F7" s="110" t="n"/>
      <c r="G7" s="110" t="n"/>
      <c r="H7" s="93" t="n"/>
      <c r="I7" s="93" t="n"/>
      <c r="J7" s="93" t="n"/>
      <c r="K7" s="93" t="n"/>
      <c r="L7" s="93" t="n"/>
    </row>
    <row r="8" ht="31.5" customHeight="1" s="55">
      <c r="A8" s="94" t="n"/>
      <c r="B8" s="94" t="n"/>
      <c r="C8" s="95" t="n"/>
      <c r="D8" s="95" t="n"/>
      <c r="E8" s="95" t="n"/>
      <c r="F8" s="111" t="n"/>
      <c r="G8" s="111" t="n"/>
      <c r="H8" s="95" t="n"/>
      <c r="I8" s="95" t="n"/>
      <c r="J8" s="95" t="n"/>
      <c r="K8" s="95" t="n"/>
      <c r="L8" s="95" t="n"/>
    </row>
    <row r="9" ht="31.5" customHeight="1" s="55">
      <c r="A9" s="92" t="n"/>
      <c r="B9" s="92" t="n"/>
      <c r="C9" s="93" t="n"/>
      <c r="D9" s="93" t="n"/>
      <c r="E9" s="93" t="n"/>
      <c r="F9" s="110" t="n"/>
      <c r="G9" s="110" t="n"/>
      <c r="H9" s="93" t="n"/>
      <c r="I9" s="93" t="n"/>
      <c r="J9" s="93" t="n"/>
      <c r="K9" s="93" t="n"/>
      <c r="L9" s="93" t="n"/>
    </row>
    <row r="10" ht="31.5" customHeight="1" s="55">
      <c r="A10" s="94" t="n"/>
      <c r="B10" s="94" t="n"/>
      <c r="C10" s="95" t="n"/>
      <c r="D10" s="95" t="n"/>
      <c r="E10" s="95" t="n"/>
      <c r="F10" s="111" t="n"/>
      <c r="G10" s="111" t="n"/>
      <c r="H10" s="95" t="n"/>
      <c r="I10" s="95" t="n"/>
      <c r="J10" s="95" t="n"/>
      <c r="K10" s="95" t="n"/>
      <c r="L10" s="95" t="n"/>
    </row>
    <row r="11" ht="31.5" customHeight="1" s="55">
      <c r="A11" s="92" t="n"/>
      <c r="B11" s="92" t="n"/>
      <c r="C11" s="93" t="n"/>
      <c r="D11" s="93" t="n"/>
      <c r="E11" s="93" t="n"/>
      <c r="F11" s="110" t="n"/>
      <c r="G11" s="110" t="n"/>
      <c r="H11" s="93" t="n"/>
      <c r="I11" s="93" t="n"/>
      <c r="J11" s="93" t="n"/>
      <c r="K11" s="93" t="n"/>
      <c r="L11" s="93" t="n"/>
    </row>
    <row r="12" ht="31.5" customHeight="1" s="55">
      <c r="A12" s="94" t="n"/>
      <c r="B12" s="94" t="n"/>
      <c r="C12" s="95" t="n"/>
      <c r="D12" s="95" t="n"/>
      <c r="E12" s="95" t="n"/>
      <c r="F12" s="111" t="n"/>
      <c r="G12" s="111" t="n"/>
      <c r="H12" s="95" t="n"/>
      <c r="I12" s="95" t="n"/>
      <c r="J12" s="95" t="n"/>
      <c r="K12" s="95" t="n"/>
      <c r="L12" s="95" t="n"/>
    </row>
    <row r="13" ht="31.5" customHeight="1" s="55">
      <c r="A13" s="92" t="n"/>
      <c r="B13" s="92" t="n"/>
      <c r="C13" s="93" t="n"/>
      <c r="D13" s="93" t="n"/>
      <c r="E13" s="93" t="n"/>
      <c r="F13" s="110" t="n"/>
      <c r="G13" s="110" t="n"/>
      <c r="H13" s="93" t="n"/>
      <c r="I13" s="93" t="n"/>
      <c r="J13" s="93" t="n"/>
      <c r="K13" s="93" t="n"/>
      <c r="L13" s="93" t="n"/>
    </row>
    <row r="14" ht="31.5" customHeight="1" s="55">
      <c r="A14" s="94" t="n"/>
      <c r="B14" s="94" t="n"/>
      <c r="C14" s="95" t="n"/>
      <c r="D14" s="95" t="n"/>
      <c r="E14" s="95" t="n"/>
      <c r="F14" s="111" t="n"/>
      <c r="G14" s="111" t="n"/>
      <c r="H14" s="95" t="n"/>
      <c r="I14" s="95" t="n"/>
      <c r="J14" s="95" t="n"/>
      <c r="K14" s="95" t="n"/>
      <c r="L14" s="95" t="n"/>
    </row>
    <row r="15" ht="31.5" customHeight="1" s="55">
      <c r="A15" s="92" t="n"/>
      <c r="B15" s="92" t="n"/>
      <c r="C15" s="93" t="n"/>
      <c r="D15" s="93" t="n"/>
      <c r="E15" s="93" t="n"/>
      <c r="F15" s="110" t="n"/>
      <c r="G15" s="110" t="n"/>
      <c r="H15" s="93" t="n"/>
      <c r="I15" s="93" t="n"/>
      <c r="J15" s="93" t="n"/>
      <c r="K15" s="93" t="n"/>
      <c r="L15" s="93" t="n"/>
    </row>
    <row r="16" ht="31.5" customHeight="1" s="55">
      <c r="A16" s="94" t="n"/>
      <c r="B16" s="94" t="n"/>
      <c r="C16" s="95" t="n"/>
      <c r="D16" s="95" t="n"/>
      <c r="E16" s="95" t="n"/>
      <c r="F16" s="111" t="n"/>
      <c r="G16" s="111" t="n"/>
      <c r="H16" s="95" t="n"/>
      <c r="I16" s="95" t="n"/>
      <c r="J16" s="95" t="n"/>
      <c r="K16" s="95" t="n"/>
      <c r="L16" s="95" t="n"/>
    </row>
    <row r="17" ht="31.5" customHeight="1" s="55">
      <c r="A17" s="92" t="n"/>
      <c r="B17" s="92" t="n"/>
      <c r="C17" s="93" t="n"/>
      <c r="D17" s="93" t="n"/>
      <c r="E17" s="93" t="n"/>
      <c r="F17" s="110" t="n"/>
      <c r="G17" s="110" t="n"/>
      <c r="H17" s="93" t="n"/>
      <c r="I17" s="93" t="n"/>
      <c r="J17" s="93" t="n"/>
      <c r="K17" s="93" t="n"/>
      <c r="L17" s="93" t="n"/>
    </row>
    <row r="18" ht="31.5" customHeight="1" s="55">
      <c r="A18" s="94" t="n"/>
      <c r="B18" s="94" t="n"/>
      <c r="C18" s="95" t="n"/>
      <c r="D18" s="95" t="n"/>
      <c r="E18" s="95" t="n"/>
      <c r="F18" s="111" t="n"/>
      <c r="G18" s="111" t="n"/>
      <c r="H18" s="95" t="n"/>
      <c r="I18" s="95" t="n"/>
      <c r="J18" s="95" t="n"/>
      <c r="K18" s="95" t="n"/>
      <c r="L18" s="95" t="n"/>
    </row>
    <row r="19" ht="31.5" customHeight="1" s="55">
      <c r="A19" s="92" t="n"/>
      <c r="B19" s="92" t="n"/>
      <c r="C19" s="93" t="n"/>
      <c r="D19" s="93" t="n"/>
      <c r="E19" s="93" t="n"/>
      <c r="F19" s="110" t="n"/>
      <c r="G19" s="110" t="n"/>
      <c r="H19" s="93" t="n"/>
      <c r="I19" s="93" t="n"/>
      <c r="J19" s="93" t="n"/>
      <c r="K19" s="93" t="n"/>
      <c r="L19" s="93" t="n"/>
    </row>
    <row r="20" ht="31.5" customHeight="1" s="55">
      <c r="A20" s="94" t="n"/>
      <c r="B20" s="94" t="n"/>
      <c r="C20" s="95" t="n"/>
      <c r="D20" s="95" t="n"/>
      <c r="E20" s="95" t="n"/>
      <c r="F20" s="111" t="n"/>
      <c r="G20" s="111" t="n"/>
      <c r="H20" s="95" t="n"/>
      <c r="I20" s="95" t="n"/>
      <c r="J20" s="95" t="n"/>
      <c r="K20" s="95" t="n"/>
      <c r="L20" s="95" t="n"/>
    </row>
    <row r="21" ht="31.5" customHeight="1" s="55">
      <c r="A21" s="92" t="n"/>
      <c r="B21" s="92" t="n"/>
      <c r="C21" s="93" t="n"/>
      <c r="D21" s="93" t="n"/>
      <c r="E21" s="93" t="n"/>
      <c r="F21" s="110" t="n"/>
      <c r="G21" s="110" t="n"/>
      <c r="H21" s="93" t="n"/>
      <c r="I21" s="93" t="n"/>
      <c r="J21" s="93" t="n"/>
      <c r="K21" s="93" t="n"/>
      <c r="L21" s="93" t="n"/>
    </row>
    <row r="22" ht="31.5" customHeight="1" s="55">
      <c r="A22" s="94" t="n"/>
      <c r="B22" s="94" t="n"/>
      <c r="C22" s="95" t="n"/>
      <c r="D22" s="95" t="n"/>
      <c r="E22" s="95" t="n"/>
      <c r="F22" s="111" t="n"/>
      <c r="G22" s="111" t="n"/>
      <c r="H22" s="95" t="n"/>
      <c r="I22" s="95" t="n"/>
      <c r="J22" s="95" t="n"/>
      <c r="K22" s="95" t="n"/>
      <c r="L22" s="95" t="n"/>
    </row>
    <row r="23" ht="31.5" customHeight="1" s="55">
      <c r="A23" s="92" t="n"/>
      <c r="B23" s="92" t="n"/>
      <c r="C23" s="93" t="n"/>
      <c r="D23" s="93" t="n"/>
      <c r="E23" s="93" t="n"/>
      <c r="F23" s="110" t="n"/>
      <c r="G23" s="110" t="n"/>
      <c r="H23" s="93" t="n"/>
      <c r="I23" s="93" t="n"/>
      <c r="J23" s="93" t="n"/>
      <c r="K23" s="93" t="n"/>
      <c r="L23" s="93" t="n"/>
    </row>
    <row r="24" ht="31.5" customHeight="1" s="55">
      <c r="A24" s="94" t="n"/>
      <c r="B24" s="94" t="n"/>
      <c r="C24" s="95" t="n"/>
      <c r="D24" s="95" t="n"/>
      <c r="E24" s="95" t="n"/>
      <c r="F24" s="111" t="n"/>
      <c r="G24" s="111" t="n"/>
      <c r="H24" s="95" t="n"/>
      <c r="I24" s="95" t="n"/>
      <c r="J24" s="95" t="n"/>
      <c r="K24" s="95" t="n"/>
      <c r="L24" s="95" t="n"/>
    </row>
    <row r="25" ht="31.5" customHeight="1" s="55">
      <c r="A25" s="92" t="n"/>
      <c r="B25" s="92" t="n"/>
      <c r="C25" s="93" t="n"/>
      <c r="D25" s="93" t="n"/>
      <c r="E25" s="93" t="n"/>
      <c r="F25" s="110" t="n"/>
      <c r="G25" s="110" t="n"/>
      <c r="H25" s="93" t="n"/>
      <c r="I25" s="93" t="n"/>
      <c r="J25" s="93" t="n"/>
      <c r="K25" s="93" t="n"/>
      <c r="L25" s="93" t="n"/>
    </row>
    <row r="26" ht="31.5" customHeight="1" s="55">
      <c r="A26" s="94" t="n"/>
      <c r="B26" s="94" t="n"/>
      <c r="C26" s="95" t="n"/>
      <c r="D26" s="95" t="n"/>
      <c r="E26" s="95" t="n"/>
      <c r="F26" s="111" t="n"/>
      <c r="G26" s="111" t="n"/>
      <c r="H26" s="95" t="n"/>
      <c r="I26" s="95" t="n"/>
      <c r="J26" s="95" t="n"/>
      <c r="K26" s="95" t="n"/>
      <c r="L26" s="95" t="n"/>
    </row>
    <row r="27" ht="31.5" customHeight="1" s="55">
      <c r="A27" s="92" t="n"/>
      <c r="B27" s="92" t="n"/>
      <c r="C27" s="93" t="n"/>
      <c r="D27" s="93" t="n"/>
      <c r="E27" s="93" t="n"/>
      <c r="F27" s="110" t="n"/>
      <c r="G27" s="110" t="n"/>
      <c r="H27" s="93" t="n"/>
      <c r="I27" s="93" t="n"/>
      <c r="J27" s="93" t="n"/>
      <c r="K27" s="93" t="n"/>
      <c r="L27" s="93" t="n"/>
    </row>
    <row r="28" ht="31.5" customHeight="1" s="55">
      <c r="A28" s="94" t="n"/>
      <c r="B28" s="94" t="n"/>
      <c r="C28" s="95" t="n"/>
      <c r="D28" s="95" t="n"/>
      <c r="E28" s="95" t="n"/>
      <c r="F28" s="111" t="n"/>
      <c r="G28" s="111" t="n"/>
      <c r="H28" s="95" t="n"/>
      <c r="I28" s="95" t="n"/>
      <c r="J28" s="95" t="n"/>
      <c r="K28" s="95" t="n"/>
      <c r="L28" s="95" t="n"/>
    </row>
    <row r="29" ht="31.5" customHeight="1" s="55">
      <c r="A29" s="92" t="n"/>
      <c r="B29" s="92" t="n"/>
      <c r="C29" s="93" t="n"/>
      <c r="D29" s="93" t="n"/>
      <c r="E29" s="93" t="n"/>
      <c r="F29" s="110" t="n"/>
      <c r="G29" s="110" t="n"/>
      <c r="H29" s="93" t="n"/>
      <c r="I29" s="93" t="n"/>
      <c r="J29" s="93" t="n"/>
      <c r="K29" s="93" t="n"/>
      <c r="L29" s="93" t="n"/>
    </row>
    <row r="30" ht="31.5" customHeight="1" s="55">
      <c r="A30" s="94" t="n"/>
      <c r="B30" s="94" t="n"/>
      <c r="C30" s="95" t="n"/>
      <c r="D30" s="95" t="n"/>
      <c r="E30" s="95" t="n"/>
      <c r="F30" s="111" t="n"/>
      <c r="G30" s="111" t="n"/>
      <c r="H30" s="95" t="n"/>
      <c r="I30" s="95" t="n"/>
      <c r="J30" s="95" t="n"/>
      <c r="K30" s="95" t="n"/>
      <c r="L30" s="95" t="n"/>
    </row>
    <row r="31" ht="31.5" customHeight="1" s="55">
      <c r="A31" s="92" t="n"/>
      <c r="B31" s="92" t="n"/>
      <c r="C31" s="93" t="n"/>
      <c r="D31" s="93" t="n"/>
      <c r="E31" s="93" t="n"/>
      <c r="F31" s="110" t="n"/>
      <c r="G31" s="110" t="n"/>
      <c r="H31" s="93" t="n"/>
      <c r="I31" s="93" t="n"/>
      <c r="J31" s="93" t="n"/>
      <c r="K31" s="93" t="n"/>
      <c r="L31" s="93" t="n"/>
    </row>
    <row r="32" ht="31.5" customHeight="1" s="55">
      <c r="A32" s="94" t="n"/>
      <c r="B32" s="94" t="n"/>
      <c r="C32" s="95" t="n"/>
      <c r="D32" s="95" t="n"/>
      <c r="E32" s="95" t="n"/>
      <c r="F32" s="111" t="n"/>
      <c r="G32" s="111" t="n"/>
      <c r="H32" s="95" t="n"/>
      <c r="I32" s="95" t="n"/>
      <c r="J32" s="95" t="n"/>
      <c r="K32" s="95" t="n"/>
      <c r="L32" s="95" t="n"/>
    </row>
    <row r="33" ht="31.5" customHeight="1" s="55">
      <c r="A33" s="92" t="n"/>
      <c r="B33" s="92" t="n"/>
      <c r="C33" s="93" t="n"/>
      <c r="D33" s="93" t="n"/>
      <c r="E33" s="93" t="n"/>
      <c r="F33" s="110" t="n"/>
      <c r="G33" s="110" t="n"/>
      <c r="H33" s="93" t="n"/>
      <c r="I33" s="93" t="n"/>
      <c r="J33" s="93" t="n"/>
      <c r="K33" s="93" t="n"/>
      <c r="L33" s="93" t="n"/>
    </row>
    <row r="34" ht="31.5" customHeight="1" s="55">
      <c r="A34" s="94" t="n"/>
      <c r="B34" s="94" t="n"/>
      <c r="C34" s="95" t="n"/>
      <c r="D34" s="95" t="n"/>
      <c r="E34" s="95" t="n"/>
      <c r="F34" s="111" t="n"/>
      <c r="G34" s="111" t="n"/>
      <c r="H34" s="95" t="n"/>
      <c r="I34" s="95" t="n"/>
      <c r="J34" s="95" t="n"/>
      <c r="K34" s="95" t="n"/>
      <c r="L34" s="95" t="n"/>
    </row>
    <row r="35" ht="31.5" customHeight="1" s="55">
      <c r="A35" s="92" t="n"/>
      <c r="B35" s="92" t="n"/>
      <c r="C35" s="93" t="n"/>
      <c r="D35" s="93" t="n"/>
      <c r="E35" s="93" t="n"/>
      <c r="F35" s="110" t="n"/>
      <c r="G35" s="110" t="n"/>
      <c r="H35" s="93" t="n"/>
      <c r="I35" s="93" t="n"/>
      <c r="J35" s="93" t="n"/>
      <c r="K35" s="93" t="n"/>
      <c r="L35" s="93" t="n"/>
    </row>
    <row r="36" ht="31.5" customHeight="1" s="55">
      <c r="A36" s="94" t="n"/>
      <c r="B36" s="94" t="n"/>
      <c r="C36" s="95" t="n"/>
      <c r="D36" s="95" t="n"/>
      <c r="E36" s="95" t="n"/>
      <c r="F36" s="111" t="n"/>
      <c r="G36" s="111" t="n"/>
      <c r="H36" s="95" t="n"/>
      <c r="I36" s="95" t="n"/>
      <c r="J36" s="95" t="n"/>
      <c r="K36" s="95" t="n"/>
      <c r="L36" s="95" t="n"/>
    </row>
    <row r="37" ht="31.5" customHeight="1" s="55">
      <c r="A37" s="92" t="n"/>
      <c r="B37" s="92" t="n"/>
      <c r="C37" s="93" t="n"/>
      <c r="D37" s="93" t="n"/>
      <c r="E37" s="93" t="n"/>
      <c r="F37" s="110" t="n"/>
      <c r="G37" s="110" t="n"/>
      <c r="H37" s="93" t="n"/>
      <c r="I37" s="93" t="n"/>
      <c r="J37" s="93" t="n"/>
      <c r="K37" s="93" t="n"/>
      <c r="L37" s="93" t="n"/>
    </row>
    <row r="38" ht="31.5" customHeight="1" s="55">
      <c r="A38" s="94" t="n"/>
      <c r="B38" s="94" t="n"/>
      <c r="C38" s="95" t="n"/>
      <c r="D38" s="95" t="n"/>
      <c r="E38" s="95" t="n"/>
      <c r="F38" s="111" t="n"/>
      <c r="G38" s="111" t="n"/>
      <c r="H38" s="95" t="n"/>
      <c r="I38" s="95" t="n"/>
      <c r="J38" s="95" t="n"/>
      <c r="K38" s="95" t="n"/>
      <c r="L38" s="95" t="n"/>
    </row>
    <row r="39" ht="31.5" customHeight="1" s="55">
      <c r="A39" s="92" t="n"/>
      <c r="B39" s="92" t="n"/>
      <c r="C39" s="93" t="n"/>
      <c r="D39" s="93" t="n"/>
      <c r="E39" s="93" t="n"/>
      <c r="F39" s="110" t="n"/>
      <c r="G39" s="110" t="n"/>
      <c r="H39" s="93" t="n"/>
      <c r="I39" s="93" t="n"/>
      <c r="J39" s="93" t="n"/>
      <c r="K39" s="93" t="n"/>
      <c r="L39" s="93" t="n"/>
    </row>
    <row r="40" ht="31.5" customHeight="1" s="55">
      <c r="A40" s="94" t="n"/>
      <c r="B40" s="94" t="n"/>
      <c r="C40" s="95" t="n"/>
      <c r="D40" s="95" t="n"/>
      <c r="E40" s="95" t="n"/>
      <c r="F40" s="111" t="n"/>
      <c r="G40" s="111" t="n"/>
      <c r="H40" s="95" t="n"/>
      <c r="I40" s="95" t="n"/>
      <c r="J40" s="95" t="n"/>
      <c r="K40" s="95" t="n"/>
      <c r="L40" s="95" t="n"/>
    </row>
    <row r="41" ht="31.5" customHeight="1" s="55">
      <c r="A41" s="92" t="n"/>
      <c r="B41" s="92" t="n"/>
      <c r="C41" s="93" t="n"/>
      <c r="D41" s="93" t="n"/>
      <c r="E41" s="93" t="n"/>
      <c r="F41" s="110" t="n"/>
      <c r="G41" s="110" t="n"/>
      <c r="H41" s="93" t="n"/>
      <c r="I41" s="93" t="n"/>
      <c r="J41" s="93" t="n"/>
      <c r="K41" s="93" t="n"/>
      <c r="L41" s="93" t="n"/>
    </row>
    <row r="42" ht="31.5" customHeight="1" s="55">
      <c r="A42" s="94" t="n"/>
      <c r="B42" s="94" t="n"/>
      <c r="C42" s="95" t="n"/>
      <c r="D42" s="95" t="n"/>
      <c r="E42" s="95" t="n"/>
      <c r="F42" s="111" t="n"/>
      <c r="G42" s="111" t="n"/>
      <c r="H42" s="95" t="n"/>
      <c r="I42" s="95" t="n"/>
      <c r="J42" s="95" t="n"/>
      <c r="K42" s="95" t="n"/>
      <c r="L42" s="95" t="n"/>
    </row>
    <row r="43" ht="31.5" customHeight="1" s="55">
      <c r="A43" s="92" t="n"/>
      <c r="B43" s="92" t="n"/>
      <c r="C43" s="93" t="n"/>
      <c r="D43" s="93" t="n"/>
      <c r="E43" s="93" t="n"/>
      <c r="F43" s="110" t="n"/>
      <c r="G43" s="110" t="n"/>
      <c r="H43" s="93" t="n"/>
      <c r="I43" s="93" t="n"/>
      <c r="J43" s="93" t="n"/>
      <c r="K43" s="93" t="n"/>
      <c r="L43" s="93" t="n"/>
    </row>
    <row r="44" ht="31.5" customHeight="1" s="55">
      <c r="A44" s="94" t="n"/>
      <c r="B44" s="94" t="n"/>
      <c r="C44" s="95" t="n"/>
      <c r="D44" s="95" t="n"/>
      <c r="E44" s="95" t="n"/>
      <c r="F44" s="111" t="n"/>
      <c r="G44" s="111" t="n"/>
      <c r="H44" s="95" t="n"/>
      <c r="I44" s="95" t="n"/>
      <c r="J44" s="95" t="n"/>
      <c r="K44" s="95" t="n"/>
      <c r="L44" s="95" t="n"/>
    </row>
    <row r="45" ht="31.5" customHeight="1" s="55">
      <c r="A45" s="92" t="n"/>
      <c r="B45" s="92" t="n"/>
      <c r="C45" s="93" t="n"/>
      <c r="D45" s="93" t="n"/>
      <c r="E45" s="93" t="n"/>
      <c r="F45" s="110" t="n"/>
      <c r="G45" s="110" t="n"/>
      <c r="H45" s="93" t="n"/>
      <c r="I45" s="93" t="n"/>
      <c r="J45" s="93" t="n"/>
      <c r="K45" s="93" t="n"/>
      <c r="L45" s="93" t="n"/>
    </row>
    <row r="46" ht="31.5" customHeight="1" s="55">
      <c r="A46" s="94" t="n"/>
      <c r="B46" s="94" t="n"/>
      <c r="C46" s="95" t="n"/>
      <c r="D46" s="95" t="n"/>
      <c r="E46" s="95" t="n"/>
      <c r="F46" s="111" t="n"/>
      <c r="G46" s="111" t="n"/>
      <c r="H46" s="95" t="n"/>
      <c r="I46" s="95" t="n"/>
      <c r="J46" s="95" t="n"/>
      <c r="K46" s="95" t="n"/>
      <c r="L46" s="95" t="n"/>
    </row>
    <row r="47" ht="31.5" customHeight="1" s="55">
      <c r="A47" s="92" t="n"/>
      <c r="B47" s="92" t="n"/>
      <c r="C47" s="93" t="n"/>
      <c r="D47" s="93" t="n"/>
      <c r="E47" s="93" t="n"/>
      <c r="F47" s="110" t="n"/>
      <c r="G47" s="110" t="n"/>
      <c r="H47" s="93" t="n"/>
      <c r="I47" s="93" t="n"/>
      <c r="J47" s="93" t="n"/>
      <c r="K47" s="93" t="n"/>
      <c r="L47" s="93" t="n"/>
    </row>
    <row r="48" ht="31.5" customHeight="1" s="55">
      <c r="A48" s="94" t="n"/>
      <c r="B48" s="94" t="n"/>
      <c r="C48" s="95" t="n"/>
      <c r="D48" s="95" t="n"/>
      <c r="E48" s="95" t="n"/>
      <c r="F48" s="111" t="n"/>
      <c r="G48" s="111" t="n"/>
      <c r="H48" s="95" t="n"/>
      <c r="I48" s="95" t="n"/>
      <c r="J48" s="95" t="n"/>
      <c r="K48" s="95" t="n"/>
      <c r="L48" s="95" t="n"/>
    </row>
    <row r="49" ht="31.5" customHeight="1" s="55">
      <c r="A49" s="92" t="n"/>
      <c r="B49" s="92" t="n"/>
      <c r="C49" s="93" t="n"/>
      <c r="D49" s="93" t="n"/>
      <c r="E49" s="93" t="n"/>
      <c r="F49" s="110" t="n"/>
      <c r="G49" s="110" t="n"/>
      <c r="H49" s="93" t="n"/>
      <c r="I49" s="93" t="n"/>
      <c r="J49" s="93" t="n"/>
      <c r="K49" s="93" t="n"/>
      <c r="L49" s="93" t="n"/>
    </row>
    <row r="50" ht="31.5" customHeight="1" s="55">
      <c r="A50" s="94" t="n"/>
      <c r="B50" s="94" t="n"/>
      <c r="C50" s="95" t="n"/>
      <c r="D50" s="95" t="n"/>
      <c r="E50" s="95" t="n"/>
      <c r="F50" s="111" t="n"/>
      <c r="G50" s="111" t="n"/>
      <c r="H50" s="95" t="n"/>
      <c r="I50" s="95" t="n"/>
      <c r="J50" s="95" t="n"/>
      <c r="K50" s="95" t="n"/>
      <c r="L50" s="95" t="n"/>
    </row>
    <row r="51" ht="31.5" customHeight="1" s="55">
      <c r="A51" s="92" t="n"/>
      <c r="B51" s="92" t="n"/>
      <c r="C51" s="93" t="n"/>
      <c r="D51" s="93" t="n"/>
      <c r="E51" s="93" t="n"/>
      <c r="F51" s="110" t="n"/>
      <c r="G51" s="110" t="n"/>
      <c r="H51" s="93" t="n"/>
      <c r="I51" s="93" t="n"/>
      <c r="J51" s="93" t="n"/>
      <c r="K51" s="93" t="n"/>
      <c r="L51" s="93" t="n"/>
    </row>
    <row r="52" ht="31.5" customHeight="1" s="55">
      <c r="A52" s="94" t="n"/>
      <c r="B52" s="94" t="n"/>
      <c r="C52" s="95" t="n"/>
      <c r="D52" s="95" t="n"/>
      <c r="E52" s="95" t="n"/>
      <c r="F52" s="111" t="n"/>
      <c r="G52" s="111" t="n"/>
      <c r="H52" s="95" t="n"/>
      <c r="I52" s="95" t="n"/>
      <c r="J52" s="95" t="n"/>
      <c r="K52" s="95" t="n"/>
      <c r="L52" s="95" t="n"/>
    </row>
    <row r="53" ht="31.5" customHeight="1" s="55">
      <c r="A53" s="92" t="n"/>
      <c r="B53" s="92" t="n"/>
      <c r="C53" s="93" t="n"/>
      <c r="D53" s="93" t="n"/>
      <c r="E53" s="93" t="n"/>
      <c r="F53" s="110" t="n"/>
      <c r="G53" s="110" t="n"/>
      <c r="H53" s="93" t="n"/>
      <c r="I53" s="93" t="n"/>
      <c r="J53" s="93" t="n"/>
      <c r="K53" s="93" t="n"/>
      <c r="L53" s="93" t="n"/>
    </row>
    <row r="54" ht="31.5" customHeight="1" s="55">
      <c r="A54" s="94" t="n"/>
      <c r="B54" s="94" t="n"/>
      <c r="C54" s="95" t="n"/>
      <c r="D54" s="95" t="n"/>
      <c r="E54" s="95" t="n"/>
      <c r="F54" s="111" t="n"/>
      <c r="G54" s="111" t="n"/>
      <c r="H54" s="95" t="n"/>
      <c r="I54" s="95" t="n"/>
      <c r="J54" s="95" t="n"/>
      <c r="K54" s="95" t="n"/>
      <c r="L54" s="95" t="n"/>
    </row>
    <row r="55" ht="31.5" customHeight="1" s="55">
      <c r="A55" s="92" t="n"/>
      <c r="B55" s="92" t="n"/>
      <c r="C55" s="93" t="n"/>
      <c r="D55" s="93" t="n"/>
      <c r="E55" s="93" t="n"/>
      <c r="F55" s="110" t="n"/>
      <c r="G55" s="110" t="n"/>
      <c r="H55" s="93" t="n"/>
      <c r="I55" s="93" t="n"/>
      <c r="J55" s="93" t="n"/>
      <c r="K55" s="93" t="n"/>
      <c r="L55" s="93" t="n"/>
    </row>
    <row r="56" ht="31.5" customHeight="1" s="55">
      <c r="A56" s="94" t="n"/>
      <c r="B56" s="94" t="n"/>
      <c r="C56" s="95" t="n"/>
      <c r="D56" s="95" t="n"/>
      <c r="E56" s="95" t="n"/>
      <c r="F56" s="111" t="n"/>
      <c r="G56" s="111" t="n"/>
      <c r="H56" s="95" t="n"/>
      <c r="I56" s="95" t="n"/>
      <c r="J56" s="95" t="n"/>
      <c r="K56" s="95" t="n"/>
      <c r="L56" s="95" t="n"/>
    </row>
    <row r="57" ht="31.5" customHeight="1" s="55">
      <c r="A57" s="92" t="n"/>
      <c r="B57" s="92" t="n"/>
      <c r="C57" s="93" t="n"/>
      <c r="D57" s="93" t="n"/>
      <c r="E57" s="93" t="n"/>
      <c r="F57" s="110" t="n"/>
      <c r="G57" s="110" t="n"/>
      <c r="H57" s="93" t="n"/>
      <c r="I57" s="93" t="n"/>
      <c r="J57" s="93" t="n"/>
      <c r="K57" s="93" t="n"/>
      <c r="L57" s="93" t="n"/>
    </row>
    <row r="58" ht="31.5" customHeight="1" s="55">
      <c r="A58" s="94" t="n"/>
      <c r="B58" s="94" t="n"/>
      <c r="C58" s="95" t="n"/>
      <c r="D58" s="95" t="n"/>
      <c r="E58" s="95" t="n"/>
      <c r="F58" s="111" t="n"/>
      <c r="G58" s="111" t="n"/>
      <c r="H58" s="95" t="n"/>
      <c r="I58" s="95" t="n"/>
      <c r="J58" s="95" t="n"/>
      <c r="K58" s="95" t="n"/>
      <c r="L58" s="95" t="n"/>
    </row>
    <row r="59" ht="31.5" customHeight="1" s="55">
      <c r="A59" s="92" t="n"/>
      <c r="B59" s="92" t="n"/>
      <c r="C59" s="93" t="n"/>
      <c r="D59" s="93" t="n"/>
      <c r="E59" s="93" t="n"/>
      <c r="F59" s="110" t="n"/>
      <c r="G59" s="110" t="n"/>
      <c r="H59" s="93" t="n"/>
      <c r="I59" s="93" t="n"/>
      <c r="J59" s="93" t="n"/>
      <c r="K59" s="93" t="n"/>
      <c r="L59" s="93" t="n"/>
    </row>
    <row r="60" ht="31.5" customHeight="1" s="55">
      <c r="A60" s="94" t="n"/>
      <c r="B60" s="94" t="n"/>
      <c r="C60" s="95" t="n"/>
      <c r="D60" s="95" t="n"/>
      <c r="E60" s="95" t="n"/>
      <c r="F60" s="111" t="n"/>
      <c r="G60" s="111" t="n"/>
      <c r="H60" s="95" t="n"/>
      <c r="I60" s="95" t="n"/>
      <c r="J60" s="95" t="n"/>
      <c r="K60" s="95" t="n"/>
      <c r="L60" s="95" t="n"/>
    </row>
    <row r="61" ht="31.5" customHeight="1" s="55">
      <c r="A61" s="92" t="n"/>
      <c r="B61" s="92" t="n"/>
      <c r="C61" s="93" t="n"/>
      <c r="D61" s="93" t="n"/>
      <c r="E61" s="93" t="n"/>
      <c r="F61" s="110" t="n"/>
      <c r="G61" s="110" t="n"/>
      <c r="H61" s="93" t="n"/>
      <c r="I61" s="93" t="n"/>
      <c r="J61" s="93" t="n"/>
      <c r="K61" s="93" t="n"/>
      <c r="L61" s="93" t="n"/>
    </row>
    <row r="62" ht="31.5" customHeight="1" s="55">
      <c r="A62" s="94" t="n"/>
      <c r="B62" s="94" t="n"/>
      <c r="C62" s="95" t="n"/>
      <c r="D62" s="95" t="n"/>
      <c r="E62" s="95" t="n"/>
      <c r="F62" s="111" t="n"/>
      <c r="G62" s="111" t="n"/>
      <c r="H62" s="95" t="n"/>
      <c r="I62" s="95" t="n"/>
      <c r="J62" s="95" t="n"/>
      <c r="K62" s="95" t="n"/>
      <c r="L62" s="95" t="n"/>
    </row>
    <row r="63" ht="31.5" customHeight="1" s="55">
      <c r="A63" s="92" t="n"/>
      <c r="B63" s="92" t="n"/>
      <c r="C63" s="93" t="n"/>
      <c r="D63" s="93" t="n"/>
      <c r="E63" s="93" t="n"/>
      <c r="F63" s="110" t="n"/>
      <c r="G63" s="110" t="n"/>
      <c r="H63" s="93" t="n"/>
      <c r="I63" s="93" t="n"/>
      <c r="J63" s="93" t="n"/>
      <c r="K63" s="93" t="n"/>
      <c r="L63" s="93" t="n"/>
    </row>
    <row r="64" ht="31.5" customHeight="1" s="55">
      <c r="A64" s="94" t="n"/>
      <c r="B64" s="94" t="n"/>
      <c r="C64" s="95" t="n"/>
      <c r="D64" s="95" t="n"/>
      <c r="E64" s="95" t="n"/>
      <c r="F64" s="111" t="n"/>
      <c r="G64" s="111" t="n"/>
      <c r="H64" s="95" t="n"/>
      <c r="I64" s="95" t="n"/>
      <c r="J64" s="95" t="n"/>
      <c r="K64" s="95" t="n"/>
      <c r="L64" s="95" t="n"/>
    </row>
    <row r="65" ht="31.5" customHeight="1" s="55">
      <c r="A65" s="92" t="n"/>
      <c r="B65" s="92" t="n"/>
      <c r="C65" s="93" t="n"/>
      <c r="D65" s="93" t="n"/>
      <c r="E65" s="93" t="n"/>
      <c r="F65" s="110" t="n"/>
      <c r="G65" s="110" t="n"/>
      <c r="H65" s="93" t="n"/>
      <c r="I65" s="93" t="n"/>
      <c r="J65" s="93" t="n"/>
      <c r="K65" s="93" t="n"/>
      <c r="L65" s="93" t="n"/>
    </row>
    <row r="66" ht="31.5" customHeight="1" s="55">
      <c r="A66" s="94" t="n"/>
      <c r="B66" s="94" t="n"/>
      <c r="C66" s="95" t="n"/>
      <c r="D66" s="95" t="n"/>
      <c r="E66" s="95" t="n"/>
      <c r="F66" s="111" t="n"/>
      <c r="G66" s="111" t="n"/>
      <c r="H66" s="95" t="n"/>
      <c r="I66" s="95" t="n"/>
      <c r="J66" s="95" t="n"/>
      <c r="K66" s="95" t="n"/>
      <c r="L66" s="95" t="n"/>
    </row>
    <row r="67" ht="31.5" customHeight="1" s="55">
      <c r="A67" s="92" t="n"/>
      <c r="B67" s="92" t="n"/>
      <c r="C67" s="93" t="n"/>
      <c r="D67" s="93" t="n"/>
      <c r="E67" s="93" t="n"/>
      <c r="F67" s="110" t="n"/>
      <c r="G67" s="110" t="n"/>
      <c r="H67" s="93" t="n"/>
      <c r="I67" s="93" t="n"/>
      <c r="J67" s="93" t="n"/>
      <c r="K67" s="93" t="n"/>
      <c r="L67" s="93" t="n"/>
    </row>
    <row r="68" ht="31.5" customHeight="1" s="55">
      <c r="A68" s="94" t="n"/>
      <c r="B68" s="94" t="n"/>
      <c r="C68" s="95" t="n"/>
      <c r="D68" s="95" t="n"/>
      <c r="E68" s="95" t="n"/>
      <c r="F68" s="111" t="n"/>
      <c r="G68" s="111" t="n"/>
      <c r="H68" s="95" t="n"/>
      <c r="I68" s="95" t="n"/>
      <c r="J68" s="95" t="n"/>
      <c r="K68" s="95" t="n"/>
      <c r="L68" s="95" t="n"/>
    </row>
    <row r="69" ht="31.5" customHeight="1" s="55">
      <c r="A69" s="92" t="n"/>
      <c r="B69" s="92" t="n"/>
      <c r="C69" s="93" t="n"/>
      <c r="D69" s="93" t="n"/>
      <c r="E69" s="93" t="n"/>
      <c r="F69" s="110" t="n"/>
      <c r="G69" s="110" t="n"/>
      <c r="H69" s="93" t="n"/>
      <c r="I69" s="93" t="n"/>
      <c r="J69" s="93" t="n"/>
      <c r="K69" s="93" t="n"/>
      <c r="L69" s="93" t="n"/>
    </row>
    <row r="70" ht="31.5" customHeight="1" s="55">
      <c r="A70" s="94" t="n"/>
      <c r="B70" s="94" t="n"/>
      <c r="C70" s="95" t="n"/>
      <c r="D70" s="95" t="n"/>
      <c r="E70" s="95" t="n"/>
      <c r="F70" s="111" t="n"/>
      <c r="G70" s="111" t="n"/>
      <c r="H70" s="95" t="n"/>
      <c r="I70" s="95" t="n"/>
      <c r="J70" s="95" t="n"/>
      <c r="K70" s="95" t="n"/>
      <c r="L70" s="95" t="n"/>
    </row>
    <row r="71" ht="31.5" customHeight="1" s="55">
      <c r="A71" s="92" t="n"/>
      <c r="B71" s="92" t="n"/>
      <c r="C71" s="93" t="n"/>
      <c r="D71" s="93" t="n"/>
      <c r="E71" s="93" t="n"/>
      <c r="F71" s="110" t="n"/>
      <c r="G71" s="110" t="n"/>
      <c r="H71" s="93" t="n"/>
      <c r="I71" s="93" t="n"/>
      <c r="J71" s="93" t="n"/>
      <c r="K71" s="93" t="n"/>
      <c r="L71" s="93" t="n"/>
    </row>
    <row r="72" ht="31.5" customHeight="1" s="55">
      <c r="A72" s="94" t="n"/>
      <c r="B72" s="94" t="n"/>
      <c r="C72" s="95" t="n"/>
      <c r="D72" s="95" t="n"/>
      <c r="E72" s="95" t="n"/>
      <c r="F72" s="111" t="n"/>
      <c r="G72" s="111" t="n"/>
      <c r="H72" s="95" t="n"/>
      <c r="I72" s="95" t="n"/>
      <c r="J72" s="95" t="n"/>
      <c r="K72" s="95" t="n"/>
      <c r="L72" s="95" t="n"/>
    </row>
    <row r="73" ht="31.5" customHeight="1" s="55">
      <c r="A73" s="92" t="n"/>
      <c r="B73" s="92" t="n"/>
      <c r="C73" s="93" t="n"/>
      <c r="D73" s="93" t="n"/>
      <c r="E73" s="93" t="n"/>
      <c r="F73" s="110" t="n"/>
      <c r="G73" s="110" t="n"/>
      <c r="H73" s="93" t="n"/>
      <c r="I73" s="93" t="n"/>
      <c r="J73" s="93" t="n"/>
      <c r="K73" s="93" t="n"/>
      <c r="L73" s="93" t="n"/>
    </row>
    <row r="74" ht="31.5" customHeight="1" s="55">
      <c r="A74" s="94" t="n"/>
      <c r="B74" s="94" t="n"/>
      <c r="C74" s="95" t="n"/>
      <c r="D74" s="95" t="n"/>
      <c r="E74" s="95" t="n"/>
      <c r="F74" s="111" t="n"/>
      <c r="G74" s="111" t="n"/>
      <c r="H74" s="95" t="n"/>
      <c r="I74" s="95" t="n"/>
      <c r="J74" s="95" t="n"/>
      <c r="K74" s="95" t="n"/>
      <c r="L74" s="95" t="n"/>
    </row>
    <row r="75" ht="31.5" customHeight="1" s="55">
      <c r="A75" s="92" t="n"/>
      <c r="B75" s="92" t="n"/>
      <c r="C75" s="93" t="n"/>
      <c r="D75" s="93" t="n"/>
      <c r="E75" s="93" t="n"/>
      <c r="F75" s="110" t="n"/>
      <c r="G75" s="110" t="n"/>
      <c r="H75" s="93" t="n"/>
      <c r="I75" s="93" t="n"/>
      <c r="J75" s="93" t="n"/>
      <c r="K75" s="93" t="n"/>
      <c r="L75" s="93" t="n"/>
    </row>
    <row r="76" ht="31.5" customHeight="1" s="55">
      <c r="A76" s="94" t="n"/>
      <c r="B76" s="94" t="n"/>
      <c r="C76" s="95" t="n"/>
      <c r="D76" s="95" t="n"/>
      <c r="E76" s="95" t="n"/>
      <c r="F76" s="111" t="n"/>
      <c r="G76" s="111" t="n"/>
      <c r="H76" s="95" t="n"/>
      <c r="I76" s="95" t="n"/>
      <c r="J76" s="95" t="n"/>
      <c r="K76" s="95" t="n"/>
      <c r="L76" s="95" t="n"/>
    </row>
    <row r="77" ht="31.5" customHeight="1" s="55">
      <c r="A77" s="92" t="n"/>
      <c r="B77" s="92" t="n"/>
      <c r="C77" s="93" t="n"/>
      <c r="D77" s="93" t="n"/>
      <c r="E77" s="93" t="n"/>
      <c r="F77" s="110" t="n"/>
      <c r="G77" s="110" t="n"/>
      <c r="H77" s="93" t="n"/>
      <c r="I77" s="93" t="n"/>
      <c r="J77" s="93" t="n"/>
      <c r="K77" s="93" t="n"/>
      <c r="L77" s="93" t="n"/>
    </row>
    <row r="78" ht="31.5" customHeight="1" s="55">
      <c r="A78" s="94" t="n"/>
      <c r="B78" s="94" t="n"/>
      <c r="C78" s="95" t="n"/>
      <c r="D78" s="95" t="n"/>
      <c r="E78" s="95" t="n"/>
      <c r="F78" s="111" t="n"/>
      <c r="G78" s="111" t="n"/>
      <c r="H78" s="95" t="n"/>
      <c r="I78" s="95" t="n"/>
      <c r="J78" s="95" t="n"/>
      <c r="K78" s="95" t="n"/>
      <c r="L78" s="95" t="n"/>
    </row>
    <row r="79" ht="31.5" customHeight="1" s="55">
      <c r="A79" s="92" t="n"/>
      <c r="B79" s="92" t="n"/>
      <c r="C79" s="93" t="n"/>
      <c r="D79" s="93" t="n"/>
      <c r="E79" s="93" t="n"/>
      <c r="F79" s="110" t="n"/>
      <c r="G79" s="110" t="n"/>
      <c r="H79" s="93" t="n"/>
      <c r="I79" s="93" t="n"/>
      <c r="J79" s="93" t="n"/>
      <c r="K79" s="93" t="n"/>
      <c r="L79" s="93" t="n"/>
    </row>
    <row r="80" ht="31.5" customHeight="1" s="55">
      <c r="A80" s="94" t="n"/>
      <c r="B80" s="94" t="n"/>
      <c r="C80" s="95" t="n"/>
      <c r="D80" s="95" t="n"/>
      <c r="E80" s="95" t="n"/>
      <c r="F80" s="111" t="n"/>
      <c r="G80" s="111" t="n"/>
      <c r="H80" s="95" t="n"/>
      <c r="I80" s="95" t="n"/>
      <c r="J80" s="95" t="n"/>
      <c r="K80" s="95" t="n"/>
      <c r="L80" s="95" t="n"/>
    </row>
    <row r="81" ht="31.5" customHeight="1" s="55">
      <c r="A81" s="92" t="n"/>
      <c r="B81" s="92" t="n"/>
      <c r="C81" s="93" t="n"/>
      <c r="D81" s="93" t="n"/>
      <c r="E81" s="93" t="n"/>
      <c r="F81" s="110" t="n"/>
      <c r="G81" s="110" t="n"/>
      <c r="H81" s="93" t="n"/>
      <c r="I81" s="93" t="n"/>
      <c r="J81" s="93" t="n"/>
      <c r="K81" s="93" t="n"/>
      <c r="L81" s="93" t="n"/>
    </row>
    <row r="82" ht="31.5" customHeight="1" s="55">
      <c r="A82" s="94" t="n"/>
      <c r="B82" s="94" t="n"/>
      <c r="C82" s="95" t="n"/>
      <c r="D82" s="95" t="n"/>
      <c r="E82" s="95" t="n"/>
      <c r="F82" s="111" t="n"/>
      <c r="G82" s="111" t="n"/>
      <c r="H82" s="95" t="n"/>
      <c r="I82" s="95" t="n"/>
      <c r="J82" s="95" t="n"/>
      <c r="K82" s="95" t="n"/>
      <c r="L82" s="95" t="n"/>
    </row>
    <row r="83" ht="31.5" customHeight="1" s="55">
      <c r="A83" s="92" t="n"/>
      <c r="B83" s="92" t="n"/>
      <c r="C83" s="93" t="n"/>
      <c r="D83" s="93" t="n"/>
      <c r="E83" s="93" t="n"/>
      <c r="F83" s="110" t="n"/>
      <c r="G83" s="110" t="n"/>
      <c r="H83" s="93" t="n"/>
      <c r="I83" s="93" t="n"/>
      <c r="J83" s="93" t="n"/>
      <c r="K83" s="93" t="n"/>
      <c r="L83" s="93" t="n"/>
    </row>
    <row r="84" ht="31.5" customHeight="1" s="55">
      <c r="A84" s="94" t="n"/>
      <c r="B84" s="94" t="n"/>
      <c r="C84" s="95" t="n"/>
      <c r="D84" s="95" t="n"/>
      <c r="E84" s="95" t="n"/>
      <c r="F84" s="111" t="n"/>
      <c r="G84" s="111" t="n"/>
      <c r="H84" s="95" t="n"/>
      <c r="I84" s="95" t="n"/>
      <c r="J84" s="95" t="n"/>
      <c r="K84" s="95" t="n"/>
      <c r="L84" s="95" t="n"/>
    </row>
    <row r="85" ht="31.5" customHeight="1" s="55">
      <c r="A85" s="92" t="n"/>
      <c r="B85" s="92" t="n"/>
      <c r="C85" s="93" t="n"/>
      <c r="D85" s="93" t="n"/>
      <c r="E85" s="93" t="n"/>
      <c r="F85" s="110" t="n"/>
      <c r="G85" s="110" t="n"/>
      <c r="H85" s="93" t="n"/>
      <c r="I85" s="93" t="n"/>
      <c r="J85" s="93" t="n"/>
      <c r="K85" s="93" t="n"/>
      <c r="L85" s="93" t="n"/>
    </row>
    <row r="86" ht="31.5" customHeight="1" s="55">
      <c r="A86" s="94" t="n"/>
      <c r="B86" s="94" t="n"/>
      <c r="C86" s="95" t="n"/>
      <c r="D86" s="95" t="n"/>
      <c r="E86" s="95" t="n"/>
      <c r="F86" s="111" t="n"/>
      <c r="G86" s="111" t="n"/>
      <c r="H86" s="95" t="n"/>
      <c r="I86" s="95" t="n"/>
      <c r="J86" s="95" t="n"/>
      <c r="K86" s="95" t="n"/>
      <c r="L86" s="95" t="n"/>
    </row>
    <row r="87" ht="31.5" customHeight="1" s="55">
      <c r="A87" s="92" t="n"/>
      <c r="B87" s="92" t="n"/>
      <c r="C87" s="93" t="n"/>
      <c r="D87" s="93" t="n"/>
      <c r="E87" s="93" t="n"/>
      <c r="F87" s="110" t="n"/>
      <c r="G87" s="110" t="n"/>
      <c r="H87" s="93" t="n"/>
      <c r="I87" s="93" t="n"/>
      <c r="J87" s="93" t="n"/>
      <c r="K87" s="93" t="n"/>
      <c r="L87" s="93" t="n"/>
    </row>
    <row r="88" ht="31.5" customHeight="1" s="55">
      <c r="A88" s="94" t="n"/>
      <c r="B88" s="94" t="n"/>
      <c r="C88" s="95" t="n"/>
      <c r="D88" s="95" t="n"/>
      <c r="E88" s="95" t="n"/>
      <c r="F88" s="111" t="n"/>
      <c r="G88" s="111" t="n"/>
      <c r="H88" s="95" t="n"/>
      <c r="I88" s="95" t="n"/>
      <c r="J88" s="95" t="n"/>
      <c r="K88" s="95" t="n"/>
      <c r="L88" s="95" t="n"/>
    </row>
    <row r="89" ht="31.5" customHeight="1" s="55">
      <c r="A89" s="92" t="n"/>
      <c r="B89" s="92" t="n"/>
      <c r="C89" s="93" t="n"/>
      <c r="D89" s="93" t="n"/>
      <c r="E89" s="93" t="n"/>
      <c r="F89" s="110" t="n"/>
      <c r="G89" s="110" t="n"/>
      <c r="H89" s="93" t="n"/>
      <c r="I89" s="93" t="n"/>
      <c r="J89" s="93" t="n"/>
      <c r="K89" s="93" t="n"/>
      <c r="L89" s="93" t="n"/>
    </row>
    <row r="90" ht="31.5" customHeight="1" s="55">
      <c r="A90" s="94" t="n"/>
      <c r="B90" s="94" t="n"/>
      <c r="C90" s="95" t="n"/>
      <c r="D90" s="95" t="n"/>
      <c r="E90" s="95" t="n"/>
      <c r="F90" s="111" t="n"/>
      <c r="G90" s="111" t="n"/>
      <c r="H90" s="95" t="n"/>
      <c r="I90" s="95" t="n"/>
      <c r="J90" s="95" t="n"/>
      <c r="K90" s="95" t="n"/>
      <c r="L90" s="95" t="n"/>
    </row>
    <row r="91" ht="31.5" customHeight="1" s="55">
      <c r="A91" s="92" t="n"/>
      <c r="B91" s="92" t="n"/>
      <c r="C91" s="93" t="n"/>
      <c r="D91" s="93" t="n"/>
      <c r="E91" s="93" t="n"/>
      <c r="F91" s="110" t="n"/>
      <c r="G91" s="110" t="n"/>
      <c r="H91" s="93" t="n"/>
      <c r="I91" s="93" t="n"/>
      <c r="J91" s="93" t="n"/>
      <c r="K91" s="93" t="n"/>
      <c r="L91" s="93" t="n"/>
    </row>
    <row r="92" ht="31.5" customHeight="1" s="55">
      <c r="A92" s="94" t="n"/>
      <c r="B92" s="94" t="n"/>
      <c r="C92" s="95" t="n"/>
      <c r="D92" s="95" t="n"/>
      <c r="E92" s="95" t="n"/>
      <c r="F92" s="111" t="n"/>
      <c r="G92" s="111" t="n"/>
      <c r="H92" s="95" t="n"/>
      <c r="I92" s="95" t="n"/>
      <c r="J92" s="95" t="n"/>
      <c r="K92" s="95" t="n"/>
      <c r="L92" s="95" t="n"/>
    </row>
    <row r="93" ht="31.5" customHeight="1" s="55">
      <c r="A93" s="92" t="n"/>
      <c r="B93" s="92" t="n"/>
      <c r="C93" s="93" t="n"/>
      <c r="D93" s="93" t="n"/>
      <c r="E93" s="93" t="n"/>
      <c r="F93" s="110" t="n"/>
      <c r="G93" s="110" t="n"/>
      <c r="H93" s="93" t="n"/>
      <c r="I93" s="93" t="n"/>
      <c r="J93" s="93" t="n"/>
      <c r="K93" s="93" t="n"/>
      <c r="L93" s="93" t="n"/>
    </row>
    <row r="94" ht="31.5" customHeight="1" s="55">
      <c r="A94" s="94" t="n"/>
      <c r="B94" s="94" t="n"/>
      <c r="C94" s="95" t="n"/>
      <c r="D94" s="95" t="n"/>
      <c r="E94" s="95" t="n"/>
      <c r="F94" s="111" t="n"/>
      <c r="G94" s="111" t="n"/>
      <c r="H94" s="95" t="n"/>
      <c r="I94" s="95" t="n"/>
      <c r="J94" s="95" t="n"/>
      <c r="K94" s="95" t="n"/>
      <c r="L94" s="95" t="n"/>
    </row>
    <row r="95" ht="31.5" customHeight="1" s="55">
      <c r="A95" s="92" t="n"/>
      <c r="B95" s="92" t="n"/>
      <c r="C95" s="93" t="n"/>
      <c r="D95" s="93" t="n"/>
      <c r="E95" s="93" t="n"/>
      <c r="F95" s="110" t="n"/>
      <c r="G95" s="110" t="n"/>
      <c r="H95" s="93" t="n"/>
      <c r="I95" s="93" t="n"/>
      <c r="J95" s="93" t="n"/>
      <c r="K95" s="93" t="n"/>
      <c r="L95" s="93" t="n"/>
    </row>
    <row r="96" ht="31.5" customHeight="1" s="55">
      <c r="A96" s="94" t="n"/>
      <c r="B96" s="94" t="n"/>
      <c r="C96" s="95" t="n"/>
      <c r="D96" s="95" t="n"/>
      <c r="E96" s="95" t="n"/>
      <c r="F96" s="111" t="n"/>
      <c r="G96" s="111" t="n"/>
      <c r="H96" s="95" t="n"/>
      <c r="I96" s="95" t="n"/>
      <c r="J96" s="95" t="n"/>
      <c r="K96" s="95" t="n"/>
      <c r="L96" s="95" t="n"/>
    </row>
    <row r="97" ht="31.5" customHeight="1" s="55">
      <c r="A97" s="92" t="n"/>
      <c r="B97" s="92" t="n"/>
      <c r="C97" s="93" t="n"/>
      <c r="D97" s="93" t="n"/>
      <c r="E97" s="93" t="n"/>
      <c r="F97" s="110" t="n"/>
      <c r="G97" s="110" t="n"/>
      <c r="H97" s="93" t="n"/>
      <c r="I97" s="93" t="n"/>
      <c r="J97" s="93" t="n"/>
      <c r="K97" s="93" t="n"/>
      <c r="L97" s="93" t="n"/>
    </row>
    <row r="98" ht="31.5" customHeight="1" s="55">
      <c r="A98" s="94" t="n"/>
      <c r="B98" s="94" t="n"/>
      <c r="C98" s="95" t="n"/>
      <c r="D98" s="95" t="n"/>
      <c r="E98" s="95" t="n"/>
      <c r="F98" s="111" t="n"/>
      <c r="G98" s="111" t="n"/>
      <c r="H98" s="95" t="n"/>
      <c r="I98" s="95" t="n"/>
      <c r="J98" s="95" t="n"/>
      <c r="K98" s="95" t="n"/>
      <c r="L98" s="95" t="n"/>
    </row>
    <row r="99" ht="31.5" customHeight="1" s="55">
      <c r="A99" s="92" t="n"/>
      <c r="B99" s="92" t="n"/>
      <c r="C99" s="93" t="n"/>
      <c r="D99" s="93" t="n"/>
      <c r="E99" s="93" t="n"/>
      <c r="F99" s="110" t="n"/>
      <c r="G99" s="110" t="n"/>
      <c r="H99" s="93" t="n"/>
      <c r="I99" s="93" t="n"/>
      <c r="J99" s="93" t="n"/>
      <c r="K99" s="93" t="n"/>
      <c r="L99" s="93" t="n"/>
    </row>
    <row r="100" ht="31.5" customHeight="1" s="55">
      <c r="A100" s="94" t="n"/>
      <c r="B100" s="94" t="n"/>
      <c r="C100" s="95" t="n"/>
      <c r="D100" s="95" t="n"/>
      <c r="E100" s="95" t="n"/>
      <c r="F100" s="111" t="n"/>
      <c r="G100" s="111" t="n"/>
      <c r="H100" s="95" t="n"/>
      <c r="I100" s="95" t="n"/>
      <c r="J100" s="95" t="n"/>
      <c r="K100" s="95" t="n"/>
      <c r="L100" s="95" t="n"/>
    </row>
    <row r="101" ht="31.5" customHeight="1" s="55">
      <c r="A101" s="92" t="n"/>
      <c r="B101" s="92" t="n"/>
      <c r="C101" s="93" t="n"/>
      <c r="D101" s="93" t="n"/>
      <c r="E101" s="93" t="n"/>
      <c r="F101" s="110" t="n"/>
      <c r="G101" s="110" t="n"/>
      <c r="H101" s="93" t="n"/>
      <c r="I101" s="93" t="n"/>
      <c r="J101" s="93" t="n"/>
      <c r="K101" s="93" t="n"/>
      <c r="L101" s="93" t="n"/>
    </row>
    <row r="102" ht="31.5" customHeight="1" s="55">
      <c r="A102" s="94" t="n"/>
      <c r="B102" s="94" t="n"/>
      <c r="C102" s="95" t="n"/>
      <c r="D102" s="95" t="n"/>
      <c r="E102" s="95" t="n"/>
      <c r="F102" s="111" t="n"/>
      <c r="G102" s="111" t="n"/>
      <c r="H102" s="95" t="n"/>
      <c r="I102" s="95" t="n"/>
      <c r="J102" s="95" t="n"/>
      <c r="K102" s="95" t="n"/>
      <c r="L102" s="95" t="n"/>
    </row>
    <row r="103" ht="31.5" customHeight="1" s="55">
      <c r="A103" s="92" t="n"/>
      <c r="B103" s="92" t="n"/>
      <c r="C103" s="93" t="n"/>
      <c r="D103" s="93" t="n"/>
      <c r="E103" s="93" t="n"/>
      <c r="F103" s="110" t="n"/>
      <c r="G103" s="110" t="n"/>
      <c r="H103" s="93" t="n"/>
      <c r="I103" s="93" t="n"/>
      <c r="J103" s="93" t="n"/>
      <c r="K103" s="93" t="n"/>
      <c r="L103" s="93" t="n"/>
    </row>
    <row r="104" ht="31.5" customHeight="1" s="55">
      <c r="A104" s="94" t="n"/>
      <c r="B104" s="94" t="n"/>
      <c r="C104" s="95" t="n"/>
      <c r="D104" s="95" t="n"/>
      <c r="E104" s="95" t="n"/>
      <c r="F104" s="111" t="n"/>
      <c r="G104" s="111" t="n"/>
      <c r="H104" s="95" t="n"/>
      <c r="I104" s="95" t="n"/>
      <c r="J104" s="95" t="n"/>
      <c r="K104" s="95" t="n"/>
      <c r="L104" s="95" t="n"/>
    </row>
    <row r="105" ht="31.5" customHeight="1" s="55">
      <c r="A105" s="92" t="n"/>
      <c r="B105" s="92" t="n"/>
      <c r="C105" s="93" t="n"/>
      <c r="D105" s="93" t="n"/>
      <c r="E105" s="93" t="n"/>
      <c r="F105" s="110" t="n"/>
      <c r="G105" s="110" t="n"/>
      <c r="H105" s="93" t="n"/>
      <c r="I105" s="93" t="n"/>
      <c r="J105" s="93" t="n"/>
      <c r="K105" s="93" t="n"/>
      <c r="L105" s="93" t="n"/>
    </row>
    <row r="106" ht="31.5" customHeight="1" s="55">
      <c r="A106" s="94" t="n"/>
      <c r="B106" s="94" t="n"/>
      <c r="C106" s="95" t="n"/>
      <c r="D106" s="95" t="n"/>
      <c r="E106" s="95" t="n"/>
      <c r="F106" s="111" t="n"/>
      <c r="G106" s="111" t="n"/>
      <c r="H106" s="95" t="n"/>
      <c r="I106" s="95" t="n"/>
      <c r="J106" s="95" t="n"/>
      <c r="K106" s="95" t="n"/>
      <c r="L106" s="95" t="n"/>
    </row>
    <row r="107" ht="31.5" customHeight="1" s="55">
      <c r="A107" s="92" t="n"/>
      <c r="B107" s="92" t="n"/>
      <c r="C107" s="93" t="n"/>
      <c r="D107" s="93" t="n"/>
      <c r="E107" s="93" t="n"/>
      <c r="F107" s="110" t="n"/>
      <c r="G107" s="110" t="n"/>
      <c r="H107" s="93" t="n"/>
      <c r="I107" s="93" t="n"/>
      <c r="J107" s="93" t="n"/>
      <c r="K107" s="93" t="n"/>
      <c r="L107" s="93" t="n"/>
    </row>
    <row r="108" ht="31.5" customHeight="1" s="55">
      <c r="A108" s="94" t="n"/>
      <c r="B108" s="94" t="n"/>
      <c r="C108" s="95" t="n"/>
      <c r="D108" s="95" t="n"/>
      <c r="E108" s="95" t="n"/>
      <c r="F108" s="111" t="n"/>
      <c r="G108" s="111" t="n"/>
      <c r="H108" s="95" t="n"/>
      <c r="I108" s="95" t="n"/>
      <c r="J108" s="95" t="n"/>
      <c r="K108" s="95" t="n"/>
      <c r="L108" s="95" t="n"/>
    </row>
    <row r="109" ht="31.5" customHeight="1" s="55">
      <c r="A109" s="92" t="n"/>
      <c r="B109" s="92" t="n"/>
      <c r="C109" s="93" t="n"/>
      <c r="D109" s="93" t="n"/>
      <c r="E109" s="93" t="n"/>
      <c r="F109" s="110" t="n"/>
      <c r="G109" s="110" t="n"/>
      <c r="H109" s="93" t="n"/>
      <c r="I109" s="93" t="n"/>
      <c r="J109" s="93" t="n"/>
      <c r="K109" s="93" t="n"/>
      <c r="L109" s="93" t="n"/>
    </row>
    <row r="110" ht="31.5" customHeight="1" s="55">
      <c r="A110" s="94" t="n"/>
      <c r="B110" s="94" t="n"/>
      <c r="C110" s="95" t="n"/>
      <c r="D110" s="95" t="n"/>
      <c r="E110" s="95" t="n"/>
      <c r="F110" s="111" t="n"/>
      <c r="G110" s="111" t="n"/>
      <c r="H110" s="95" t="n"/>
      <c r="I110" s="95" t="n"/>
      <c r="J110" s="95" t="n"/>
      <c r="K110" s="95" t="n"/>
      <c r="L110" s="95" t="n"/>
    </row>
    <row r="111" ht="31.5" customHeight="1" s="55">
      <c r="A111" s="92" t="n"/>
      <c r="B111" s="92" t="n"/>
      <c r="C111" s="93" t="n"/>
      <c r="D111" s="93" t="n"/>
      <c r="E111" s="93" t="n"/>
      <c r="F111" s="110" t="n"/>
      <c r="G111" s="110" t="n"/>
      <c r="H111" s="93" t="n"/>
      <c r="I111" s="93" t="n"/>
      <c r="J111" s="93" t="n"/>
      <c r="K111" s="93" t="n"/>
      <c r="L111" s="93" t="n"/>
    </row>
    <row r="112" ht="31.5" customHeight="1" s="55">
      <c r="A112" s="94" t="n"/>
      <c r="B112" s="94" t="n"/>
      <c r="C112" s="95" t="n"/>
      <c r="D112" s="95" t="n"/>
      <c r="E112" s="95" t="n"/>
      <c r="F112" s="111" t="n"/>
      <c r="G112" s="111" t="n"/>
      <c r="H112" s="95" t="n"/>
      <c r="I112" s="95" t="n"/>
      <c r="J112" s="95" t="n"/>
      <c r="K112" s="95" t="n"/>
      <c r="L112" s="95" t="n"/>
    </row>
    <row r="113" ht="31.5" customHeight="1" s="55">
      <c r="A113" s="92" t="n"/>
      <c r="B113" s="92" t="n"/>
      <c r="C113" s="93" t="n"/>
      <c r="D113" s="93" t="n"/>
      <c r="E113" s="93" t="n"/>
      <c r="F113" s="110" t="n"/>
      <c r="G113" s="110" t="n"/>
      <c r="H113" s="93" t="n"/>
      <c r="I113" s="93" t="n"/>
      <c r="J113" s="93" t="n"/>
      <c r="K113" s="93" t="n"/>
      <c r="L113" s="93" t="n"/>
    </row>
    <row r="114" ht="31.5" customHeight="1" s="55">
      <c r="A114" s="94" t="n"/>
      <c r="B114" s="94" t="n"/>
      <c r="C114" s="95" t="n"/>
      <c r="D114" s="95" t="n"/>
      <c r="E114" s="95" t="n"/>
      <c r="F114" s="111" t="n"/>
      <c r="G114" s="111" t="n"/>
      <c r="H114" s="95" t="n"/>
      <c r="I114" s="95" t="n"/>
      <c r="J114" s="95" t="n"/>
      <c r="K114" s="95" t="n"/>
      <c r="L114" s="95" t="n"/>
    </row>
    <row r="115" ht="31.5" customHeight="1" s="55">
      <c r="A115" s="92" t="n"/>
      <c r="B115" s="92" t="n"/>
      <c r="C115" s="93" t="n"/>
      <c r="D115" s="93" t="n"/>
      <c r="E115" s="93" t="n"/>
      <c r="F115" s="110" t="n"/>
      <c r="G115" s="110" t="n"/>
      <c r="H115" s="93" t="n"/>
      <c r="I115" s="93" t="n"/>
      <c r="J115" s="93" t="n"/>
      <c r="K115" s="93" t="n"/>
      <c r="L115" s="93" t="n"/>
    </row>
    <row r="116" ht="31.5" customHeight="1" s="55">
      <c r="A116" s="94" t="n"/>
      <c r="B116" s="94" t="n"/>
      <c r="C116" s="95" t="n"/>
      <c r="D116" s="95" t="n"/>
      <c r="E116" s="95" t="n"/>
      <c r="F116" s="111" t="n"/>
      <c r="G116" s="111" t="n"/>
      <c r="H116" s="95" t="n"/>
      <c r="I116" s="95" t="n"/>
      <c r="J116" s="95" t="n"/>
      <c r="K116" s="95" t="n"/>
      <c r="L116" s="95" t="n"/>
    </row>
    <row r="117" ht="31.5" customHeight="1" s="55">
      <c r="A117" s="92" t="n"/>
      <c r="B117" s="92" t="n"/>
      <c r="C117" s="93" t="n"/>
      <c r="D117" s="93" t="n"/>
      <c r="E117" s="93" t="n"/>
      <c r="F117" s="110" t="n"/>
      <c r="G117" s="110" t="n"/>
      <c r="H117" s="93" t="n"/>
      <c r="I117" s="93" t="n"/>
      <c r="J117" s="93" t="n"/>
      <c r="K117" s="93" t="n"/>
      <c r="L117" s="93" t="n"/>
    </row>
    <row r="118" ht="31.5" customHeight="1" s="55">
      <c r="A118" s="94" t="n"/>
      <c r="B118" s="94" t="n"/>
      <c r="C118" s="95" t="n"/>
      <c r="D118" s="95" t="n"/>
      <c r="E118" s="95" t="n"/>
      <c r="F118" s="111" t="n"/>
      <c r="G118" s="111" t="n"/>
      <c r="H118" s="95" t="n"/>
      <c r="I118" s="95" t="n"/>
      <c r="J118" s="95" t="n"/>
      <c r="K118" s="95" t="n"/>
      <c r="L118" s="95" t="n"/>
    </row>
    <row r="119" ht="31.5" customHeight="1" s="55">
      <c r="A119" s="92" t="n"/>
      <c r="B119" s="92" t="n"/>
      <c r="C119" s="93" t="n"/>
      <c r="D119" s="93" t="n"/>
      <c r="E119" s="93" t="n"/>
      <c r="F119" s="110" t="n"/>
      <c r="G119" s="110" t="n"/>
      <c r="H119" s="93" t="n"/>
      <c r="I119" s="93" t="n"/>
      <c r="J119" s="93" t="n"/>
      <c r="K119" s="93" t="n"/>
      <c r="L119" s="93" t="n"/>
    </row>
    <row r="120" ht="31.5" customHeight="1" s="55">
      <c r="A120" s="94" t="n"/>
      <c r="B120" s="94" t="n"/>
      <c r="C120" s="95" t="n"/>
      <c r="D120" s="95" t="n"/>
      <c r="E120" s="95" t="n"/>
      <c r="F120" s="111" t="n"/>
      <c r="G120" s="111" t="n"/>
      <c r="H120" s="95" t="n"/>
      <c r="I120" s="95" t="n"/>
      <c r="J120" s="95" t="n"/>
      <c r="K120" s="95" t="n"/>
      <c r="L120" s="95" t="n"/>
    </row>
    <row r="121" ht="31.5" customHeight="1" s="55">
      <c r="A121" s="92" t="n"/>
      <c r="B121" s="92" t="n"/>
      <c r="C121" s="93" t="n"/>
      <c r="D121" s="93" t="n"/>
      <c r="E121" s="93" t="n"/>
      <c r="F121" s="110" t="n"/>
      <c r="G121" s="110" t="n"/>
      <c r="H121" s="93" t="n"/>
      <c r="I121" s="93" t="n"/>
      <c r="J121" s="93" t="n"/>
      <c r="K121" s="93" t="n"/>
      <c r="L121" s="93" t="n"/>
    </row>
    <row r="122" ht="31.5" customHeight="1" s="55">
      <c r="A122" s="94" t="n"/>
      <c r="B122" s="94" t="n"/>
      <c r="C122" s="95" t="n"/>
      <c r="D122" s="95" t="n"/>
      <c r="E122" s="95" t="n"/>
      <c r="F122" s="111" t="n"/>
      <c r="G122" s="111" t="n"/>
      <c r="H122" s="95" t="n"/>
      <c r="I122" s="95" t="n"/>
      <c r="J122" s="95" t="n"/>
      <c r="K122" s="95" t="n"/>
      <c r="L122" s="95" t="n"/>
    </row>
    <row r="123" ht="31.5" customHeight="1" s="55">
      <c r="A123" s="92" t="n"/>
      <c r="B123" s="92" t="n"/>
      <c r="C123" s="93" t="n"/>
      <c r="D123" s="93" t="n"/>
      <c r="E123" s="93" t="n"/>
      <c r="F123" s="110" t="n"/>
      <c r="G123" s="110" t="n"/>
      <c r="H123" s="93" t="n"/>
      <c r="I123" s="93" t="n"/>
      <c r="J123" s="93" t="n"/>
      <c r="K123" s="93" t="n"/>
      <c r="L123" s="93" t="n"/>
    </row>
    <row r="124" ht="31.5" customHeight="1" s="55">
      <c r="A124" s="94" t="n"/>
      <c r="B124" s="94" t="n"/>
      <c r="C124" s="95" t="n"/>
      <c r="D124" s="95" t="n"/>
      <c r="E124" s="95" t="n"/>
      <c r="F124" s="111" t="n"/>
      <c r="G124" s="111" t="n"/>
      <c r="H124" s="95" t="n"/>
      <c r="I124" s="95" t="n"/>
      <c r="J124" s="95" t="n"/>
      <c r="K124" s="95" t="n"/>
      <c r="L124" s="95" t="n"/>
    </row>
    <row r="125"/>
    <row r="126" ht="15" customHeight="1" s="55">
      <c r="A126" s="112" t="inlineStr">
        <is>
          <t>An action at level 5 is highlighted. Procedure and training reduce escape, not risk, and are never sufficient on their own for a high-severity failure. Wait until the pre-action failure rate would have produced three to five occurrences before you record a result—measure exposure, not calendar time.</t>
        </is>
      </c>
    </row>
    <row r="127" ht="15" customHeight="1" s="55"/>
  </sheetData>
  <sheetProtection selectLockedCells="0" selectUnlockedCells="0" sheet="1" objects="0" insertRows="1" insertHyperlinks="1" autoFilter="1" scenarios="0" formatColumns="1" deleteColumns="1" insertColumns="1" pivotTables="1" deleteRows="1" formatCells="1" formatRows="1" sort="1"/>
  <autoFilter ref="A4:L124"/>
  <mergeCells count="3">
    <mergeCell ref="A126:L127"/>
    <mergeCell ref="A2:L2"/>
    <mergeCell ref="A1:L1"/>
  </mergeCells>
  <conditionalFormatting sqref="D5:D124">
    <cfRule type="expression" rank="0" priority="2" equalAverage="0" aboveAverage="0" dxfId="9" text="" percent="0" bottom="0">
      <formula>LEFT($D5,1)="5"</formula>
    </cfRule>
  </conditionalFormatting>
  <dataValidations count="1">
    <dataValidation sqref="D5:D124" showDropDown="0" showInputMessage="0" showErrorMessage="1" allowBlank="1" type="list" errorStyle="stop" operator="between">
      <formula1>"1 Eliminate cause,2 Error-proof,3 Automated control,4 Detection,5 Procedure"</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F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85" min="1" max="1"/>
    <col width="30" customWidth="1" style="85" min="2" max="2"/>
    <col width="24" customWidth="1" style="85" min="3" max="3"/>
    <col width="40" customWidth="1" style="85" min="4" max="4"/>
    <col width="16" customWidth="1" style="85" min="5" max="5"/>
    <col width="20" customWidth="1" style="85" min="6" max="6"/>
  </cols>
  <sheetData>
    <row r="1" ht="25.5" customHeight="1" s="55">
      <c r="A1" s="86" t="inlineStr">
        <is>
          <t>REVIEW LOG</t>
        </is>
      </c>
    </row>
    <row r="2" ht="15.75" customHeight="1" s="55">
      <c r="A2" s="87" t="inlineStr">
        <is>
          <t>Evidence that the assessment is alive. Triggered by events, not by the calendar.</t>
        </is>
      </c>
    </row>
    <row r="3"/>
    <row r="4" ht="30" customHeight="1" s="55">
      <c r="A4" s="91" t="inlineStr">
        <is>
          <t>Date</t>
        </is>
      </c>
      <c r="B4" s="91" t="inlineStr">
        <is>
          <t>What triggered it</t>
        </is>
      </c>
      <c r="C4" s="91" t="inlineStr">
        <is>
          <t>Present</t>
        </is>
      </c>
      <c r="D4" s="91" t="inlineStr">
        <is>
          <t>Changes made</t>
        </is>
      </c>
      <c r="E4" s="91" t="inlineStr">
        <is>
          <t>Next review due</t>
        </is>
      </c>
      <c r="F4" s="91" t="inlineStr">
        <is>
          <t>Approved by</t>
        </is>
      </c>
    </row>
    <row r="5" ht="25.5" customHeight="1" s="55">
      <c r="A5" s="113" t="n"/>
      <c r="B5" s="93" t="n"/>
      <c r="C5" s="93" t="n"/>
      <c r="D5" s="93" t="n"/>
      <c r="E5" s="113" t="n"/>
      <c r="F5" s="93" t="n"/>
    </row>
    <row r="6" ht="25.5" customHeight="1" s="55">
      <c r="A6" s="114" t="n"/>
      <c r="B6" s="95" t="n"/>
      <c r="C6" s="95" t="n"/>
      <c r="D6" s="95" t="n"/>
      <c r="E6" s="114" t="n"/>
      <c r="F6" s="95" t="n"/>
    </row>
    <row r="7" ht="25.5" customHeight="1" s="55">
      <c r="A7" s="113" t="n"/>
      <c r="B7" s="93" t="n"/>
      <c r="C7" s="93" t="n"/>
      <c r="D7" s="93" t="n"/>
      <c r="E7" s="113" t="n"/>
      <c r="F7" s="93" t="n"/>
    </row>
    <row r="8" ht="25.5" customHeight="1" s="55">
      <c r="A8" s="114" t="n"/>
      <c r="B8" s="95" t="n"/>
      <c r="C8" s="95" t="n"/>
      <c r="D8" s="95" t="n"/>
      <c r="E8" s="114" t="n"/>
      <c r="F8" s="95" t="n"/>
    </row>
    <row r="9" ht="25.5" customHeight="1" s="55">
      <c r="A9" s="113" t="n"/>
      <c r="B9" s="93" t="n"/>
      <c r="C9" s="93" t="n"/>
      <c r="D9" s="93" t="n"/>
      <c r="E9" s="113" t="n"/>
      <c r="F9" s="93" t="n"/>
    </row>
    <row r="10" ht="25.5" customHeight="1" s="55">
      <c r="A10" s="114" t="n"/>
      <c r="B10" s="95" t="n"/>
      <c r="C10" s="95" t="n"/>
      <c r="D10" s="95" t="n"/>
      <c r="E10" s="114" t="n"/>
      <c r="F10" s="95" t="n"/>
    </row>
    <row r="11" ht="25.5" customHeight="1" s="55">
      <c r="A11" s="113" t="n"/>
      <c r="B11" s="93" t="n"/>
      <c r="C11" s="93" t="n"/>
      <c r="D11" s="93" t="n"/>
      <c r="E11" s="113" t="n"/>
      <c r="F11" s="93" t="n"/>
    </row>
    <row r="12" ht="25.5" customHeight="1" s="55">
      <c r="A12" s="114" t="n"/>
      <c r="B12" s="95" t="n"/>
      <c r="C12" s="95" t="n"/>
      <c r="D12" s="95" t="n"/>
      <c r="E12" s="114" t="n"/>
      <c r="F12" s="95" t="n"/>
    </row>
    <row r="13" ht="25.5" customHeight="1" s="55">
      <c r="A13" s="113" t="n"/>
      <c r="B13" s="93" t="n"/>
      <c r="C13" s="93" t="n"/>
      <c r="D13" s="93" t="n"/>
      <c r="E13" s="113" t="n"/>
      <c r="F13" s="93" t="n"/>
    </row>
    <row r="14" ht="25.5" customHeight="1" s="55">
      <c r="A14" s="114" t="n"/>
      <c r="B14" s="95" t="n"/>
      <c r="C14" s="95" t="n"/>
      <c r="D14" s="95" t="n"/>
      <c r="E14" s="114" t="n"/>
      <c r="F14" s="95" t="n"/>
    </row>
    <row r="15" ht="25.5" customHeight="1" s="55">
      <c r="A15" s="113" t="n"/>
      <c r="B15" s="93" t="n"/>
      <c r="C15" s="93" t="n"/>
      <c r="D15" s="93" t="n"/>
      <c r="E15" s="113" t="n"/>
      <c r="F15" s="93" t="n"/>
    </row>
    <row r="16" ht="25.5" customHeight="1" s="55">
      <c r="A16" s="114" t="n"/>
      <c r="B16" s="95" t="n"/>
      <c r="C16" s="95" t="n"/>
      <c r="D16" s="95" t="n"/>
      <c r="E16" s="114" t="n"/>
      <c r="F16" s="95" t="n"/>
    </row>
    <row r="17" ht="25.5" customHeight="1" s="55">
      <c r="A17" s="113" t="n"/>
      <c r="B17" s="93" t="n"/>
      <c r="C17" s="93" t="n"/>
      <c r="D17" s="93" t="n"/>
      <c r="E17" s="113" t="n"/>
      <c r="F17" s="93" t="n"/>
    </row>
    <row r="18" ht="25.5" customHeight="1" s="55">
      <c r="A18" s="114" t="n"/>
      <c r="B18" s="95" t="n"/>
      <c r="C18" s="95" t="n"/>
      <c r="D18" s="95" t="n"/>
      <c r="E18" s="114" t="n"/>
      <c r="F18" s="95" t="n"/>
    </row>
    <row r="19" ht="25.5" customHeight="1" s="55">
      <c r="A19" s="113" t="n"/>
      <c r="B19" s="93" t="n"/>
      <c r="C19" s="93" t="n"/>
      <c r="D19" s="93" t="n"/>
      <c r="E19" s="113" t="n"/>
      <c r="F19" s="93" t="n"/>
    </row>
    <row r="20" ht="25.5" customHeight="1" s="55">
      <c r="A20" s="114" t="n"/>
      <c r="B20" s="95" t="n"/>
      <c r="C20" s="95" t="n"/>
      <c r="D20" s="95" t="n"/>
      <c r="E20" s="114" t="n"/>
      <c r="F20" s="95" t="n"/>
    </row>
    <row r="21" ht="25.5" customHeight="1" s="55">
      <c r="A21" s="113" t="n"/>
      <c r="B21" s="93" t="n"/>
      <c r="C21" s="93" t="n"/>
      <c r="D21" s="93" t="n"/>
      <c r="E21" s="113" t="n"/>
      <c r="F21" s="93" t="n"/>
    </row>
    <row r="22" ht="25.5" customHeight="1" s="55">
      <c r="A22" s="114" t="n"/>
      <c r="B22" s="95" t="n"/>
      <c r="C22" s="95" t="n"/>
      <c r="D22" s="95" t="n"/>
      <c r="E22" s="114" t="n"/>
      <c r="F22" s="95" t="n"/>
    </row>
    <row r="23" ht="25.5" customHeight="1" s="55">
      <c r="A23" s="113" t="n"/>
      <c r="B23" s="93" t="n"/>
      <c r="C23" s="93" t="n"/>
      <c r="D23" s="93" t="n"/>
      <c r="E23" s="113" t="n"/>
      <c r="F23" s="93" t="n"/>
    </row>
    <row r="24" ht="25.5" customHeight="1" s="55">
      <c r="A24" s="114" t="n"/>
      <c r="B24" s="95" t="n"/>
      <c r="C24" s="95" t="n"/>
      <c r="D24" s="95" t="n"/>
      <c r="E24" s="114" t="n"/>
      <c r="F24" s="95" t="n"/>
    </row>
    <row r="25" ht="25.5" customHeight="1" s="55">
      <c r="A25" s="113" t="n"/>
      <c r="B25" s="93" t="n"/>
      <c r="C25" s="93" t="n"/>
      <c r="D25" s="93" t="n"/>
      <c r="E25" s="113" t="n"/>
      <c r="F25" s="93" t="n"/>
    </row>
    <row r="26" ht="25.5" customHeight="1" s="55">
      <c r="A26" s="114" t="n"/>
      <c r="B26" s="95" t="n"/>
      <c r="C26" s="95" t="n"/>
      <c r="D26" s="95" t="n"/>
      <c r="E26" s="114" t="n"/>
      <c r="F26" s="95" t="n"/>
    </row>
    <row r="27" ht="25.5" customHeight="1" s="55">
      <c r="A27" s="113" t="n"/>
      <c r="B27" s="93" t="n"/>
      <c r="C27" s="93" t="n"/>
      <c r="D27" s="93" t="n"/>
      <c r="E27" s="113" t="n"/>
      <c r="F27" s="93" t="n"/>
    </row>
    <row r="28" ht="25.5" customHeight="1" s="55">
      <c r="A28" s="114" t="n"/>
      <c r="B28" s="95" t="n"/>
      <c r="C28" s="95" t="n"/>
      <c r="D28" s="95" t="n"/>
      <c r="E28" s="114" t="n"/>
      <c r="F28" s="95" t="n"/>
    </row>
    <row r="29" ht="25.5" customHeight="1" s="55">
      <c r="A29" s="113" t="n"/>
      <c r="B29" s="93" t="n"/>
      <c r="C29" s="93" t="n"/>
      <c r="D29" s="93" t="n"/>
      <c r="E29" s="113" t="n"/>
      <c r="F29" s="93" t="n"/>
    </row>
    <row r="30" ht="25.5" customHeight="1" s="55">
      <c r="A30" s="114" t="n"/>
      <c r="B30" s="95" t="n"/>
      <c r="C30" s="95" t="n"/>
      <c r="D30" s="95" t="n"/>
      <c r="E30" s="114" t="n"/>
      <c r="F30" s="95" t="n"/>
    </row>
    <row r="31" ht="25.5" customHeight="1" s="55">
      <c r="A31" s="113" t="n"/>
      <c r="B31" s="93" t="n"/>
      <c r="C31" s="93" t="n"/>
      <c r="D31" s="93" t="n"/>
      <c r="E31" s="113" t="n"/>
      <c r="F31" s="93" t="n"/>
    </row>
    <row r="32" ht="25.5" customHeight="1" s="55">
      <c r="A32" s="114" t="n"/>
      <c r="B32" s="95" t="n"/>
      <c r="C32" s="95" t="n"/>
      <c r="D32" s="95" t="n"/>
      <c r="E32" s="114" t="n"/>
      <c r="F32" s="95" t="n"/>
    </row>
    <row r="33" ht="25.5" customHeight="1" s="55">
      <c r="A33" s="113" t="n"/>
      <c r="B33" s="93" t="n"/>
      <c r="C33" s="93" t="n"/>
      <c r="D33" s="93" t="n"/>
      <c r="E33" s="113" t="n"/>
      <c r="F33" s="93" t="n"/>
    </row>
    <row r="34" ht="25.5" customHeight="1" s="55">
      <c r="A34" s="114" t="n"/>
      <c r="B34" s="95" t="n"/>
      <c r="C34" s="95" t="n"/>
      <c r="D34" s="95" t="n"/>
      <c r="E34" s="114" t="n"/>
      <c r="F34" s="95" t="n"/>
    </row>
    <row r="35" ht="25.5" customHeight="1" s="55">
      <c r="A35" s="113" t="n"/>
      <c r="B35" s="93" t="n"/>
      <c r="C35" s="93" t="n"/>
      <c r="D35" s="93" t="n"/>
      <c r="E35" s="113" t="n"/>
      <c r="F35" s="93" t="n"/>
    </row>
    <row r="36" ht="25.5" customHeight="1" s="55">
      <c r="A36" s="114" t="n"/>
      <c r="B36" s="95" t="n"/>
      <c r="C36" s="95" t="n"/>
      <c r="D36" s="95" t="n"/>
      <c r="E36" s="114" t="n"/>
      <c r="F36" s="95" t="n"/>
    </row>
    <row r="37" ht="25.5" customHeight="1" s="55">
      <c r="A37" s="113" t="n"/>
      <c r="B37" s="93" t="n"/>
      <c r="C37" s="93" t="n"/>
      <c r="D37" s="93" t="n"/>
      <c r="E37" s="113" t="n"/>
      <c r="F37" s="93" t="n"/>
    </row>
    <row r="38" ht="25.5" customHeight="1" s="55">
      <c r="A38" s="114" t="n"/>
      <c r="B38" s="95" t="n"/>
      <c r="C38" s="95" t="n"/>
      <c r="D38" s="95" t="n"/>
      <c r="E38" s="114" t="n"/>
      <c r="F38" s="95" t="n"/>
    </row>
    <row r="39" ht="25.5" customHeight="1" s="55">
      <c r="A39" s="113" t="n"/>
      <c r="B39" s="93" t="n"/>
      <c r="C39" s="93" t="n"/>
      <c r="D39" s="93" t="n"/>
      <c r="E39" s="113" t="n"/>
      <c r="F39" s="93" t="n"/>
    </row>
    <row r="40" ht="25.5" customHeight="1" s="55">
      <c r="A40" s="114" t="n"/>
      <c r="B40" s="95" t="n"/>
      <c r="C40" s="95" t="n"/>
      <c r="D40" s="95" t="n"/>
      <c r="E40" s="114" t="n"/>
      <c r="F40" s="95" t="n"/>
    </row>
    <row r="41" ht="25.5" customHeight="1" s="55">
      <c r="A41" s="113" t="n"/>
      <c r="B41" s="93" t="n"/>
      <c r="C41" s="93" t="n"/>
      <c r="D41" s="93" t="n"/>
      <c r="E41" s="113" t="n"/>
      <c r="F41" s="93" t="n"/>
    </row>
    <row r="42" ht="25.5" customHeight="1" s="55">
      <c r="A42" s="114" t="n"/>
      <c r="B42" s="95" t="n"/>
      <c r="C42" s="95" t="n"/>
      <c r="D42" s="95" t="n"/>
      <c r="E42" s="114" t="n"/>
      <c r="F42" s="95" t="n"/>
    </row>
    <row r="43" ht="25.5" customHeight="1" s="55">
      <c r="A43" s="113" t="n"/>
      <c r="B43" s="93" t="n"/>
      <c r="C43" s="93" t="n"/>
      <c r="D43" s="93" t="n"/>
      <c r="E43" s="113" t="n"/>
      <c r="F43" s="93" t="n"/>
    </row>
    <row r="44" ht="25.5" customHeight="1" s="55">
      <c r="A44" s="114" t="n"/>
      <c r="B44" s="95" t="n"/>
      <c r="C44" s="95" t="n"/>
      <c r="D44" s="95" t="n"/>
      <c r="E44" s="114" t="n"/>
      <c r="F44" s="95" t="n"/>
    </row>
  </sheetData>
  <sheetProtection selectLockedCells="0" selectUnlockedCells="0" sheet="1" objects="0" insertRows="1" insertHyperlinks="1" autoFilter="1" scenarios="0" formatColumns="1" deleteColumns="1" insertColumns="1" pivotTables="1" deleteRows="1" formatCells="1" formatRows="1" sort="1"/>
  <mergeCells count="2">
    <mergeCell ref="A2:F2"/>
    <mergeCell ref="A1:F1"/>
  </mergeCells>
  <dataValidations count="1">
    <dataValidation sqref="B5:B44" showDropDown="0" showInputMessage="0" showErrorMessage="1" allowBlank="1" type="list" errorStyle="stop" operator="between">
      <formula1>"NCR with no register line,NCRs against an accepted risk,Corrective action closed,Process or machine change,New part or customer,Supplier change,Customer complaint,Scheduled annual"</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D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85" min="1" max="1"/>
    <col width="42" customWidth="1" style="85" min="2" max="2"/>
    <col width="46" customWidth="1" style="85" min="3" max="3"/>
    <col width="20" customWidth="1" style="85" min="4" max="4"/>
  </cols>
  <sheetData>
    <row r="1" ht="25.5" customHeight="1" s="55">
      <c r="A1" s="86" t="inlineStr">
        <is>
          <t>SUPPLIER RISK ASSESSMENT</t>
        </is>
      </c>
    </row>
    <row r="2" ht="15.75" customHeight="1" s="55">
      <c r="A2" s="87" t="inlineStr">
        <is>
          <t>For every supplier whose failure would reach your customer. The questions cannot be answered with a tick.</t>
        </is>
      </c>
    </row>
    <row r="3"/>
    <row r="4" ht="30" customHeight="1" s="55">
      <c r="A4" s="91" t="inlineStr">
        <is>
          <t>Supplier</t>
        </is>
      </c>
      <c r="B4" s="91" t="inlineStr">
        <is>
          <t>Question</t>
        </is>
      </c>
      <c r="C4" s="91" t="inlineStr">
        <is>
          <t>Answer and evidence</t>
        </is>
      </c>
      <c r="D4" s="91" t="inlineStr">
        <is>
          <t>Register rows raised</t>
        </is>
      </c>
    </row>
    <row r="5" ht="30" customHeight="1" s="55">
      <c r="A5" s="115" t="n"/>
      <c r="B5" s="116" t="inlineStr">
        <is>
          <t>1.  What do they supply, and what fails if it is wrong?</t>
        </is>
      </c>
      <c r="C5" s="93" t="n"/>
      <c r="D5" s="115" t="n"/>
    </row>
    <row r="6" ht="30" customHeight="1" s="55">
      <c r="A6" s="117" t="n"/>
      <c r="B6" s="116" t="inlineStr">
        <is>
          <t>2.  Can we detect their failure before it reaches our customer?</t>
        </is>
      </c>
      <c r="C6" s="93" t="n"/>
      <c r="D6" s="117" t="n"/>
    </row>
    <row r="7" ht="30" customHeight="1" s="55">
      <c r="A7" s="117" t="n"/>
      <c r="B7" s="116" t="inlineStr">
        <is>
          <t>3.  Is there a qualified alternative, and how long to switch?</t>
        </is>
      </c>
      <c r="C7" s="93" t="n"/>
      <c r="D7" s="117" t="n"/>
    </row>
    <row r="8" ht="30" customHeight="1" s="55">
      <c r="A8" s="117" t="n"/>
      <c r="B8" s="116" t="inlineStr">
        <is>
          <t>4.  What do we know about their process control, and how do we know it?</t>
        </is>
      </c>
      <c r="C8" s="93" t="n"/>
      <c r="D8" s="117" t="n"/>
    </row>
    <row r="9" ht="30" customHeight="1" s="55">
      <c r="A9" s="118" t="n"/>
      <c r="B9" s="116" t="inlineStr">
        <is>
          <t>5.  What changes at their end would we not be told about?</t>
        </is>
      </c>
      <c r="C9" s="93" t="n"/>
      <c r="D9" s="118" t="n"/>
    </row>
    <row r="10" ht="30" customHeight="1" s="55">
      <c r="A10" s="115" t="n"/>
      <c r="B10" s="116" t="inlineStr">
        <is>
          <t>1.  What do they supply, and what fails if it is wrong?</t>
        </is>
      </c>
      <c r="C10" s="93" t="n"/>
      <c r="D10" s="115" t="n"/>
    </row>
    <row r="11" ht="30" customHeight="1" s="55">
      <c r="A11" s="117" t="n"/>
      <c r="B11" s="116" t="inlineStr">
        <is>
          <t>2.  Can we detect their failure before it reaches our customer?</t>
        </is>
      </c>
      <c r="C11" s="93" t="n"/>
      <c r="D11" s="117" t="n"/>
    </row>
    <row r="12" ht="30" customHeight="1" s="55">
      <c r="A12" s="117" t="n"/>
      <c r="B12" s="116" t="inlineStr">
        <is>
          <t>3.  Is there a qualified alternative, and how long to switch?</t>
        </is>
      </c>
      <c r="C12" s="93" t="n"/>
      <c r="D12" s="117" t="n"/>
    </row>
    <row r="13" ht="30" customHeight="1" s="55">
      <c r="A13" s="117" t="n"/>
      <c r="B13" s="116" t="inlineStr">
        <is>
          <t>4.  What do we know about their process control, and how do we know it?</t>
        </is>
      </c>
      <c r="C13" s="93" t="n"/>
      <c r="D13" s="117" t="n"/>
    </row>
    <row r="14" ht="30" customHeight="1" s="55">
      <c r="A14" s="118" t="n"/>
      <c r="B14" s="116" t="inlineStr">
        <is>
          <t>5.  What changes at their end would we not be told about?</t>
        </is>
      </c>
      <c r="C14" s="93" t="n"/>
      <c r="D14" s="118" t="n"/>
    </row>
    <row r="15" ht="30" customHeight="1" s="55">
      <c r="A15" s="115" t="n"/>
      <c r="B15" s="116" t="inlineStr">
        <is>
          <t>1.  What do they supply, and what fails if it is wrong?</t>
        </is>
      </c>
      <c r="C15" s="93" t="n"/>
      <c r="D15" s="115" t="n"/>
    </row>
    <row r="16" ht="30" customHeight="1" s="55">
      <c r="A16" s="117" t="n"/>
      <c r="B16" s="116" t="inlineStr">
        <is>
          <t>2.  Can we detect their failure before it reaches our customer?</t>
        </is>
      </c>
      <c r="C16" s="93" t="n"/>
      <c r="D16" s="117" t="n"/>
    </row>
    <row r="17" ht="30" customHeight="1" s="55">
      <c r="A17" s="117" t="n"/>
      <c r="B17" s="116" t="inlineStr">
        <is>
          <t>3.  Is there a qualified alternative, and how long to switch?</t>
        </is>
      </c>
      <c r="C17" s="93" t="n"/>
      <c r="D17" s="117" t="n"/>
    </row>
    <row r="18" ht="30" customHeight="1" s="55">
      <c r="A18" s="117" t="n"/>
      <c r="B18" s="116" t="inlineStr">
        <is>
          <t>4.  What do we know about their process control, and how do we know it?</t>
        </is>
      </c>
      <c r="C18" s="93" t="n"/>
      <c r="D18" s="117" t="n"/>
    </row>
    <row r="19" ht="30" customHeight="1" s="55">
      <c r="A19" s="118" t="n"/>
      <c r="B19" s="116" t="inlineStr">
        <is>
          <t>5.  What changes at their end would we not be told about?</t>
        </is>
      </c>
      <c r="C19" s="93" t="n"/>
      <c r="D19" s="118" t="n"/>
    </row>
    <row r="20" ht="30" customHeight="1" s="55">
      <c r="A20" s="115" t="n"/>
      <c r="B20" s="116" t="inlineStr">
        <is>
          <t>1.  What do they supply, and what fails if it is wrong?</t>
        </is>
      </c>
      <c r="C20" s="93" t="n"/>
      <c r="D20" s="115" t="n"/>
    </row>
    <row r="21" ht="30" customHeight="1" s="55">
      <c r="A21" s="117" t="n"/>
      <c r="B21" s="116" t="inlineStr">
        <is>
          <t>2.  Can we detect their failure before it reaches our customer?</t>
        </is>
      </c>
      <c r="C21" s="93" t="n"/>
      <c r="D21" s="117" t="n"/>
    </row>
    <row r="22" ht="30" customHeight="1" s="55">
      <c r="A22" s="117" t="n"/>
      <c r="B22" s="116" t="inlineStr">
        <is>
          <t>3.  Is there a qualified alternative, and how long to switch?</t>
        </is>
      </c>
      <c r="C22" s="93" t="n"/>
      <c r="D22" s="117" t="n"/>
    </row>
    <row r="23" ht="30" customHeight="1" s="55">
      <c r="A23" s="117" t="n"/>
      <c r="B23" s="116" t="inlineStr">
        <is>
          <t>4.  What do we know about their process control, and how do we know it?</t>
        </is>
      </c>
      <c r="C23" s="93" t="n"/>
      <c r="D23" s="117" t="n"/>
    </row>
    <row r="24" ht="30" customHeight="1" s="55">
      <c r="A24" s="118" t="n"/>
      <c r="B24" s="116" t="inlineStr">
        <is>
          <t>5.  What changes at their end would we not be told about?</t>
        </is>
      </c>
      <c r="C24" s="93" t="n"/>
      <c r="D24" s="118" t="n"/>
    </row>
    <row r="25" ht="30" customHeight="1" s="55">
      <c r="A25" s="115" t="n"/>
      <c r="B25" s="116" t="inlineStr">
        <is>
          <t>1.  What do they supply, and what fails if it is wrong?</t>
        </is>
      </c>
      <c r="C25" s="93" t="n"/>
      <c r="D25" s="115" t="n"/>
    </row>
    <row r="26" ht="30" customHeight="1" s="55">
      <c r="A26" s="117" t="n"/>
      <c r="B26" s="116" t="inlineStr">
        <is>
          <t>2.  Can we detect their failure before it reaches our customer?</t>
        </is>
      </c>
      <c r="C26" s="93" t="n"/>
      <c r="D26" s="117" t="n"/>
    </row>
    <row r="27" ht="30" customHeight="1" s="55">
      <c r="A27" s="117" t="n"/>
      <c r="B27" s="116" t="inlineStr">
        <is>
          <t>3.  Is there a qualified alternative, and how long to switch?</t>
        </is>
      </c>
      <c r="C27" s="93" t="n"/>
      <c r="D27" s="117" t="n"/>
    </row>
    <row r="28" ht="30" customHeight="1" s="55">
      <c r="A28" s="117" t="n"/>
      <c r="B28" s="116" t="inlineStr">
        <is>
          <t>4.  What do we know about their process control, and how do we know it?</t>
        </is>
      </c>
      <c r="C28" s="93" t="n"/>
      <c r="D28" s="117" t="n"/>
    </row>
    <row r="29" ht="30" customHeight="1" s="55">
      <c r="A29" s="118" t="n"/>
      <c r="B29" s="116" t="inlineStr">
        <is>
          <t>5.  What changes at their end would we not be told about?</t>
        </is>
      </c>
      <c r="C29" s="93" t="n"/>
      <c r="D29" s="118" t="n"/>
    </row>
    <row r="30" ht="30" customHeight="1" s="55">
      <c r="A30" s="115" t="n"/>
      <c r="B30" s="116" t="inlineStr">
        <is>
          <t>1.  What do they supply, and what fails if it is wrong?</t>
        </is>
      </c>
      <c r="C30" s="93" t="n"/>
      <c r="D30" s="115" t="n"/>
    </row>
    <row r="31" ht="30" customHeight="1" s="55">
      <c r="A31" s="117" t="n"/>
      <c r="B31" s="116" t="inlineStr">
        <is>
          <t>2.  Can we detect their failure before it reaches our customer?</t>
        </is>
      </c>
      <c r="C31" s="93" t="n"/>
      <c r="D31" s="117" t="n"/>
    </row>
    <row r="32" ht="30" customHeight="1" s="55">
      <c r="A32" s="117" t="n"/>
      <c r="B32" s="116" t="inlineStr">
        <is>
          <t>3.  Is there a qualified alternative, and how long to switch?</t>
        </is>
      </c>
      <c r="C32" s="93" t="n"/>
      <c r="D32" s="117" t="n"/>
    </row>
    <row r="33" ht="30" customHeight="1" s="55">
      <c r="A33" s="117" t="n"/>
      <c r="B33" s="116" t="inlineStr">
        <is>
          <t>4.  What do we know about their process control, and how do we know it?</t>
        </is>
      </c>
      <c r="C33" s="93" t="n"/>
      <c r="D33" s="117" t="n"/>
    </row>
    <row r="34" ht="30" customHeight="1" s="55">
      <c r="A34" s="118" t="n"/>
      <c r="B34" s="116" t="inlineStr">
        <is>
          <t>5.  What changes at their end would we not be told about?</t>
        </is>
      </c>
      <c r="C34" s="93" t="n"/>
      <c r="D34" s="118" t="n"/>
    </row>
    <row r="35" ht="30" customHeight="1" s="55">
      <c r="A35" s="115" t="n"/>
      <c r="B35" s="116" t="inlineStr">
        <is>
          <t>1.  What do they supply, and what fails if it is wrong?</t>
        </is>
      </c>
      <c r="C35" s="93" t="n"/>
      <c r="D35" s="115" t="n"/>
    </row>
    <row r="36" ht="30" customHeight="1" s="55">
      <c r="A36" s="117" t="n"/>
      <c r="B36" s="116" t="inlineStr">
        <is>
          <t>2.  Can we detect their failure before it reaches our customer?</t>
        </is>
      </c>
      <c r="C36" s="93" t="n"/>
      <c r="D36" s="117" t="n"/>
    </row>
    <row r="37" ht="30" customHeight="1" s="55">
      <c r="A37" s="117" t="n"/>
      <c r="B37" s="116" t="inlineStr">
        <is>
          <t>3.  Is there a qualified alternative, and how long to switch?</t>
        </is>
      </c>
      <c r="C37" s="93" t="n"/>
      <c r="D37" s="117" t="n"/>
    </row>
    <row r="38" ht="30" customHeight="1" s="55">
      <c r="A38" s="117" t="n"/>
      <c r="B38" s="116" t="inlineStr">
        <is>
          <t>4.  What do we know about their process control, and how do we know it?</t>
        </is>
      </c>
      <c r="C38" s="93" t="n"/>
      <c r="D38" s="117" t="n"/>
    </row>
    <row r="39" ht="30" customHeight="1" s="55">
      <c r="A39" s="118" t="n"/>
      <c r="B39" s="116" t="inlineStr">
        <is>
          <t>5.  What changes at their end would we not be told about?</t>
        </is>
      </c>
      <c r="C39" s="93" t="n"/>
      <c r="D39" s="118" t="n"/>
    </row>
    <row r="40" ht="30" customHeight="1" s="55">
      <c r="A40" s="115" t="n"/>
      <c r="B40" s="116" t="inlineStr">
        <is>
          <t>1.  What do they supply, and what fails if it is wrong?</t>
        </is>
      </c>
      <c r="C40" s="93" t="n"/>
      <c r="D40" s="115" t="n"/>
    </row>
    <row r="41" ht="30" customHeight="1" s="55">
      <c r="A41" s="117" t="n"/>
      <c r="B41" s="116" t="inlineStr">
        <is>
          <t>2.  Can we detect their failure before it reaches our customer?</t>
        </is>
      </c>
      <c r="C41" s="93" t="n"/>
      <c r="D41" s="117" t="n"/>
    </row>
    <row r="42" ht="30" customHeight="1" s="55">
      <c r="A42" s="117" t="n"/>
      <c r="B42" s="116" t="inlineStr">
        <is>
          <t>3.  Is there a qualified alternative, and how long to switch?</t>
        </is>
      </c>
      <c r="C42" s="93" t="n"/>
      <c r="D42" s="117" t="n"/>
    </row>
    <row r="43" ht="30" customHeight="1" s="55">
      <c r="A43" s="117" t="n"/>
      <c r="B43" s="116" t="inlineStr">
        <is>
          <t>4.  What do we know about their process control, and how do we know it?</t>
        </is>
      </c>
      <c r="C43" s="93" t="n"/>
      <c r="D43" s="117" t="n"/>
    </row>
    <row r="44" ht="30" customHeight="1" s="55">
      <c r="A44" s="118" t="n"/>
      <c r="B44" s="116" t="inlineStr">
        <is>
          <t>5.  What changes at their end would we not be told about?</t>
        </is>
      </c>
      <c r="C44" s="93" t="n"/>
      <c r="D44" s="118" t="n"/>
    </row>
  </sheetData>
  <sheetProtection selectLockedCells="0" selectUnlockedCells="0" sheet="1" objects="0" insertRows="1" insertHyperlinks="1" autoFilter="1" scenarios="0" formatColumns="1" deleteColumns="1" insertColumns="1" pivotTables="1" deleteRows="1" formatCells="1" formatRows="1" sort="1"/>
  <mergeCells count="18">
    <mergeCell ref="D5:D9"/>
    <mergeCell ref="A1:D1"/>
    <mergeCell ref="D35:D39"/>
    <mergeCell ref="D40:D44"/>
    <mergeCell ref="A40:A44"/>
    <mergeCell ref="A30:A34"/>
    <mergeCell ref="A5:A9"/>
    <mergeCell ref="A15:A19"/>
    <mergeCell ref="D25:D29"/>
    <mergeCell ref="A25:A29"/>
    <mergeCell ref="D30:D34"/>
    <mergeCell ref="A35:A39"/>
    <mergeCell ref="A10:A14"/>
    <mergeCell ref="D20:D24"/>
    <mergeCell ref="A20:A24"/>
    <mergeCell ref="A2:D2"/>
    <mergeCell ref="D15:D19"/>
    <mergeCell ref="D10:D14"/>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J8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85" min="1" max="1"/>
    <col width="11" customWidth="1" style="85" min="2" max="10"/>
  </cols>
  <sheetData>
    <row r="1" ht="25.5" customHeight="1" s="55">
      <c r="A1" s="86" t="inlineStr">
        <is>
          <t>RISK PROFILE DASHBOARD</t>
        </is>
      </c>
    </row>
    <row r="2" ht="15.75" customHeight="1" s="55">
      <c r="A2" s="87" t="inlineStr">
        <is>
          <t>Calculated live from 'Form 2 Risk Register'. Nothing on this sheet is typed.</t>
        </is>
      </c>
    </row>
    <row r="3"/>
    <row r="4" ht="18" customHeight="1" s="55">
      <c r="A4" s="119" t="inlineStr">
        <is>
          <t>FAILURE MODES</t>
        </is>
      </c>
      <c r="C4" s="120" t="inlineStr">
        <is>
          <t>ACTION REQUIRED</t>
        </is>
      </c>
      <c r="E4" s="121" t="inlineStr">
        <is>
          <t>SEVERITY 9 OR 10</t>
        </is>
      </c>
      <c r="G4" s="119" t="inlineStr">
        <is>
          <t>HIGHEST RPN</t>
        </is>
      </c>
      <c r="I4" s="122" t="inlineStr">
        <is>
          <t>RISK REDUCTION</t>
        </is>
      </c>
    </row>
    <row r="5" ht="21.75" customHeight="1" s="55">
      <c r="A5" s="123">
        <f>COUNTA('Form 2 Risk Register'!A5:A204)</f>
        <v/>
      </c>
      <c r="C5" s="123">
        <f>COUNTIF('Form 2 Risk Register'!L5:L204,"ACTION REQUIRED")</f>
        <v/>
      </c>
      <c r="E5" s="123">
        <f>COUNTIF('Form 2 Risk Register'!F5:F204,"&gt;=9")</f>
        <v/>
      </c>
      <c r="G5" s="123">
        <f>IFERROR(MAX('Form 2 Risk Register'!K5:K204),0)</f>
        <v/>
      </c>
      <c r="I5" s="124">
        <f>IFERROR(1-SUM('Form 2 Risk Register'!R5:R204)/SUM('Form 2 Risk Register'!K5:K204),"")</f>
        <v/>
      </c>
    </row>
    <row r="6" ht="13.5" customHeight="1" s="55"/>
    <row r="7" ht="13.5" customHeight="1" s="55">
      <c r="A7" s="125" t="inlineStr">
        <is>
          <t>assessed</t>
        </is>
      </c>
      <c r="C7" s="125" t="inlineStr">
        <is>
          <t>trigger rule fired</t>
        </is>
      </c>
      <c r="E7" s="125" t="inlineStr">
        <is>
          <t>mandatory regardless of RPN</t>
        </is>
      </c>
      <c r="G7" s="125" t="inlineStr">
        <is>
          <t>initial assessment</t>
        </is>
      </c>
      <c r="I7" s="125" t="inlineStr">
        <is>
          <t>after verified actions</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ht="15" customHeight="1" s="55">
      <c r="A43" s="126" t="inlineStr">
        <is>
          <t>The step carrying the highest initial bar is where the process is least in control—normally the right place to start, not the step where defects are most visible. A hierarchy chart weighted toward levels 4 and 5 means you are reducing escape rather than risk.</t>
        </is>
      </c>
    </row>
    <row r="44" ht="15" customHeight="1" s="55"/>
    <row r="45"/>
    <row r="46" ht="15" customHeight="1" s="55">
      <c r="A46" s="127" t="inlineStr">
        <is>
          <t>CHART SOURCE DATA—calculated, do not overwrite</t>
        </is>
      </c>
    </row>
    <row r="47" ht="15" customHeight="1" s="55">
      <c r="A47" s="128" t="inlineStr">
        <is>
          <t>Process step</t>
        </is>
      </c>
      <c r="B47" s="128" t="inlineStr">
        <is>
          <t>Initial RPN</t>
        </is>
      </c>
      <c r="C47" s="128" t="inlineStr">
        <is>
          <t>Residual RPN</t>
        </is>
      </c>
    </row>
    <row r="48" ht="15" customHeight="1" s="55">
      <c r="A48" s="129" t="inlineStr">
        <is>
          <t>Step 1</t>
        </is>
      </c>
      <c r="B48" s="129">
        <f>SUMIF('Form 2 Risk Register'!$B$5:$B$204,1,'Form 2 Risk Register'!$K$5:$K$204)</f>
        <v/>
      </c>
      <c r="C48" s="129">
        <f>SUMIF('Form 2 Risk Register'!$B$5:$B$204,1,'Form 2 Risk Register'!$R$5:$R$204)</f>
        <v/>
      </c>
    </row>
    <row r="49" ht="15" customHeight="1" s="55">
      <c r="A49" s="129" t="inlineStr">
        <is>
          <t>Step 2</t>
        </is>
      </c>
      <c r="B49" s="129">
        <f>SUMIF('Form 2 Risk Register'!$B$5:$B$204,2,'Form 2 Risk Register'!$K$5:$K$204)</f>
        <v/>
      </c>
      <c r="C49" s="129">
        <f>SUMIF('Form 2 Risk Register'!$B$5:$B$204,2,'Form 2 Risk Register'!$R$5:$R$204)</f>
        <v/>
      </c>
    </row>
    <row r="50" ht="15" customHeight="1" s="55">
      <c r="A50" s="129" t="inlineStr">
        <is>
          <t>Step 3</t>
        </is>
      </c>
      <c r="B50" s="129">
        <f>SUMIF('Form 2 Risk Register'!$B$5:$B$204,3,'Form 2 Risk Register'!$K$5:$K$204)</f>
        <v/>
      </c>
      <c r="C50" s="129">
        <f>SUMIF('Form 2 Risk Register'!$B$5:$B$204,3,'Form 2 Risk Register'!$R$5:$R$204)</f>
        <v/>
      </c>
    </row>
    <row r="51" ht="15" customHeight="1" s="55">
      <c r="A51" s="129" t="inlineStr">
        <is>
          <t>Step 4</t>
        </is>
      </c>
      <c r="B51" s="129">
        <f>SUMIF('Form 2 Risk Register'!$B$5:$B$204,4,'Form 2 Risk Register'!$K$5:$K$204)</f>
        <v/>
      </c>
      <c r="C51" s="129">
        <f>SUMIF('Form 2 Risk Register'!$B$5:$B$204,4,'Form 2 Risk Register'!$R$5:$R$204)</f>
        <v/>
      </c>
    </row>
    <row r="52" ht="15" customHeight="1" s="55">
      <c r="A52" s="129" t="inlineStr">
        <is>
          <t>Step 5</t>
        </is>
      </c>
      <c r="B52" s="129">
        <f>SUMIF('Form 2 Risk Register'!$B$5:$B$204,5,'Form 2 Risk Register'!$K$5:$K$204)</f>
        <v/>
      </c>
      <c r="C52" s="129">
        <f>SUMIF('Form 2 Risk Register'!$B$5:$B$204,5,'Form 2 Risk Register'!$R$5:$R$204)</f>
        <v/>
      </c>
    </row>
    <row r="53" ht="15" customHeight="1" s="55">
      <c r="A53" s="129" t="inlineStr">
        <is>
          <t>Step 6</t>
        </is>
      </c>
      <c r="B53" s="129">
        <f>SUMIF('Form 2 Risk Register'!$B$5:$B$204,6,'Form 2 Risk Register'!$K$5:$K$204)</f>
        <v/>
      </c>
      <c r="C53" s="129">
        <f>SUMIF('Form 2 Risk Register'!$B$5:$B$204,6,'Form 2 Risk Register'!$R$5:$R$204)</f>
        <v/>
      </c>
    </row>
    <row r="54" ht="15" customHeight="1" s="55">
      <c r="A54" s="129" t="inlineStr">
        <is>
          <t>Step 7</t>
        </is>
      </c>
      <c r="B54" s="129">
        <f>SUMIF('Form 2 Risk Register'!$B$5:$B$204,7,'Form 2 Risk Register'!$K$5:$K$204)</f>
        <v/>
      </c>
      <c r="C54" s="129">
        <f>SUMIF('Form 2 Risk Register'!$B$5:$B$204,7,'Form 2 Risk Register'!$R$5:$R$204)</f>
        <v/>
      </c>
    </row>
    <row r="55" ht="15" customHeight="1" s="55">
      <c r="A55" s="129" t="inlineStr">
        <is>
          <t>Step 8</t>
        </is>
      </c>
      <c r="B55" s="129">
        <f>SUMIF('Form 2 Risk Register'!$B$5:$B$204,8,'Form 2 Risk Register'!$K$5:$K$204)</f>
        <v/>
      </c>
      <c r="C55" s="129">
        <f>SUMIF('Form 2 Risk Register'!$B$5:$B$204,8,'Form 2 Risk Register'!$R$5:$R$204)</f>
        <v/>
      </c>
    </row>
    <row r="56" ht="15" customHeight="1" s="55">
      <c r="A56" s="129" t="inlineStr">
        <is>
          <t>Step 9</t>
        </is>
      </c>
      <c r="B56" s="129">
        <f>SUMIF('Form 2 Risk Register'!$B$5:$B$204,9,'Form 2 Risk Register'!$K$5:$K$204)</f>
        <v/>
      </c>
      <c r="C56" s="129">
        <f>SUMIF('Form 2 Risk Register'!$B$5:$B$204,9,'Form 2 Risk Register'!$R$5:$R$204)</f>
        <v/>
      </c>
    </row>
    <row r="57" ht="15" customHeight="1" s="55">
      <c r="A57" s="129" t="inlineStr">
        <is>
          <t>Step 10</t>
        </is>
      </c>
      <c r="B57" s="129">
        <f>SUMIF('Form 2 Risk Register'!$B$5:$B$204,10,'Form 2 Risk Register'!$K$5:$K$204)</f>
        <v/>
      </c>
      <c r="C57" s="129">
        <f>SUMIF('Form 2 Risk Register'!$B$5:$B$204,10,'Form 2 Risk Register'!$R$5:$R$204)</f>
        <v/>
      </c>
    </row>
    <row r="58" ht="15" customHeight="1" s="55">
      <c r="A58" s="129" t="inlineStr">
        <is>
          <t>Step 11</t>
        </is>
      </c>
      <c r="B58" s="129">
        <f>SUMIF('Form 2 Risk Register'!$B$5:$B$204,11,'Form 2 Risk Register'!$K$5:$K$204)</f>
        <v/>
      </c>
      <c r="C58" s="129">
        <f>SUMIF('Form 2 Risk Register'!$B$5:$B$204,11,'Form 2 Risk Register'!$R$5:$R$204)</f>
        <v/>
      </c>
    </row>
    <row r="59" ht="15" customHeight="1" s="55">
      <c r="A59" s="129" t="inlineStr">
        <is>
          <t>Step 12</t>
        </is>
      </c>
      <c r="B59" s="129">
        <f>SUMIF('Form 2 Risk Register'!$B$5:$B$204,12,'Form 2 Risk Register'!$K$5:$K$204)</f>
        <v/>
      </c>
      <c r="C59" s="129">
        <f>SUMIF('Form 2 Risk Register'!$B$5:$B$204,12,'Form 2 Risk Register'!$R$5:$R$204)</f>
        <v/>
      </c>
    </row>
    <row r="60" ht="15" customHeight="1" s="55">
      <c r="A60" s="129" t="inlineStr">
        <is>
          <t>Step 13</t>
        </is>
      </c>
      <c r="B60" s="129">
        <f>SUMIF('Form 2 Risk Register'!$B$5:$B$204,13,'Form 2 Risk Register'!$K$5:$K$204)</f>
        <v/>
      </c>
      <c r="C60" s="129">
        <f>SUMIF('Form 2 Risk Register'!$B$5:$B$204,13,'Form 2 Risk Register'!$R$5:$R$204)</f>
        <v/>
      </c>
    </row>
    <row r="61" ht="15" customHeight="1" s="55">
      <c r="A61" s="129" t="inlineStr">
        <is>
          <t>Step 14</t>
        </is>
      </c>
      <c r="B61" s="129">
        <f>SUMIF('Form 2 Risk Register'!$B$5:$B$204,14,'Form 2 Risk Register'!$K$5:$K$204)</f>
        <v/>
      </c>
      <c r="C61" s="129">
        <f>SUMIF('Form 2 Risk Register'!$B$5:$B$204,14,'Form 2 Risk Register'!$R$5:$R$204)</f>
        <v/>
      </c>
    </row>
    <row r="62"/>
    <row r="63"/>
    <row r="64" ht="15" customHeight="1" s="55">
      <c r="A64" s="128" t="inlineStr">
        <is>
          <t>Trigger status</t>
        </is>
      </c>
      <c r="B64" s="128" t="inlineStr">
        <is>
          <t>Count</t>
        </is>
      </c>
    </row>
    <row r="65" ht="15" customHeight="1" s="55">
      <c r="A65" s="129" t="inlineStr">
        <is>
          <t>Action required</t>
        </is>
      </c>
      <c r="B65" s="129">
        <f>COUNTIF('Form 2 Risk Register'!L5:L204,"ACTION REQUIRED")</f>
        <v/>
      </c>
    </row>
    <row r="66" ht="15" customHeight="1" s="55">
      <c r="A66" s="129" t="inlineStr">
        <is>
          <t>Monitor</t>
        </is>
      </c>
      <c r="B66" s="129">
        <f>COUNTIF('Form 2 Risk Register'!L5:L204,"Monitor")</f>
        <v/>
      </c>
    </row>
    <row r="67"/>
    <row r="68"/>
    <row r="69" ht="15" customHeight="1" s="55">
      <c r="A69" s="128" t="inlineStr">
        <is>
          <t>Severity band</t>
        </is>
      </c>
      <c r="B69" s="128" t="inlineStr">
        <is>
          <t>Failure modes</t>
        </is>
      </c>
    </row>
    <row r="70" ht="15" customHeight="1" s="55">
      <c r="A70" s="129" t="inlineStr">
        <is>
          <t>S 1–4  minor</t>
        </is>
      </c>
      <c r="B70" s="129">
        <f>COUNTIF('Form 2 Risk Register'!$F$5:$F$204,"&gt;=1")-COUNTIF('Form 2 Risk Register'!$F$5:$F$204,"&gt;=5")</f>
        <v/>
      </c>
    </row>
    <row r="71" ht="15" customHeight="1" s="55">
      <c r="A71" s="129" t="inlineStr">
        <is>
          <t>S 5–6  rework</t>
        </is>
      </c>
      <c r="B71" s="129">
        <f>COUNTIF('Form 2 Risk Register'!$F$5:$F$204,"&gt;=5")-COUNTIF('Form 2 Risk Register'!$F$5:$F$204,"&gt;=7")</f>
        <v/>
      </c>
    </row>
    <row r="72" ht="15" customHeight="1" s="55">
      <c r="A72" s="129" t="inlineStr">
        <is>
          <t>S 7–8  loss of function</t>
        </is>
      </c>
      <c r="B72" s="129">
        <f>COUNTIF('Form 2 Risk Register'!$F$5:$F$204,"&gt;=7")-COUNTIF('Form 2 Risk Register'!$F$5:$F$204,"&gt;=9")</f>
        <v/>
      </c>
    </row>
    <row r="73" ht="15" customHeight="1" s="55">
      <c r="A73" s="129" t="inlineStr">
        <is>
          <t>S 9–10  escape / safety</t>
        </is>
      </c>
      <c r="B73" s="129">
        <f>COUNTIF('Form 2 Risk Register'!$F$5:$F$204,"&gt;=9")</f>
        <v/>
      </c>
    </row>
    <row r="74"/>
    <row r="75"/>
    <row r="76" ht="15" customHeight="1" s="55">
      <c r="A76" s="128" t="inlineStr">
        <is>
          <t>Action level</t>
        </is>
      </c>
      <c r="B76" s="128" t="inlineStr">
        <is>
          <t>Actions</t>
        </is>
      </c>
    </row>
    <row r="77" ht="15" customHeight="1" s="55">
      <c r="A77" s="129" t="inlineStr">
        <is>
          <t>5 Procedure</t>
        </is>
      </c>
      <c r="B77" s="129">
        <f>COUNTIF('Form 3 Action Plan'!$D$5:$D$124,"5*")</f>
        <v/>
      </c>
    </row>
    <row r="78" ht="15" customHeight="1" s="55">
      <c r="A78" s="129" t="inlineStr">
        <is>
          <t>4 Detection</t>
        </is>
      </c>
      <c r="B78" s="129">
        <f>COUNTIF('Form 3 Action Plan'!$D$5:$D$124,"4*")</f>
        <v/>
      </c>
    </row>
    <row r="79" ht="15" customHeight="1" s="55">
      <c r="A79" s="129" t="inlineStr">
        <is>
          <t>3 Automated control</t>
        </is>
      </c>
      <c r="B79" s="129">
        <f>COUNTIF('Form 3 Action Plan'!$D$5:$D$124,"3*")</f>
        <v/>
      </c>
    </row>
    <row r="80" ht="15" customHeight="1" s="55">
      <c r="A80" s="129" t="inlineStr">
        <is>
          <t>2 Error-proof</t>
        </is>
      </c>
      <c r="B80" s="129">
        <f>COUNTIF('Form 3 Action Plan'!$D$5:$D$124,"2*")</f>
        <v/>
      </c>
    </row>
    <row r="81" ht="15" customHeight="1" s="55">
      <c r="A81" s="129" t="inlineStr">
        <is>
          <t>1 Eliminate cause</t>
        </is>
      </c>
      <c r="B81" s="129">
        <f>COUNTIF('Form 3 Action Plan'!$D$5:$D$124,"1*")</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C7:D7"/>
    <mergeCell ref="A7:B7"/>
    <mergeCell ref="G7:H7"/>
    <mergeCell ref="E7:F7"/>
    <mergeCell ref="I7:J7"/>
    <mergeCell ref="A43:J44"/>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filterMode="0">
    <outlinePr summaryBelow="1" summaryRight="1"/>
    <pageSetUpPr fitToPage="0"/>
  </sheetPr>
  <dimension ref="A1:D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85" min="1" max="1"/>
    <col width="40" customWidth="1" style="85" min="2" max="2"/>
    <col width="46" customWidth="1" style="85" min="3" max="3"/>
    <col width="22" customWidth="1" style="85" min="4" max="4"/>
  </cols>
  <sheetData>
    <row r="1" ht="25.5" customHeight="1" s="55">
      <c r="A1" s="86" t="inlineStr">
        <is>
          <t>AUDIT EVIDENCE MAP</t>
        </is>
      </c>
    </row>
    <row r="2" ht="15.75" customHeight="1" s="55">
      <c r="A2" s="87" t="inlineStr">
        <is>
          <t>Which sheet answers which requirement. Clause numbers follow ISO 9001:2015.</t>
        </is>
      </c>
    </row>
    <row r="3"/>
    <row r="4" ht="30" customHeight="1" s="55">
      <c r="A4" s="91" t="inlineStr">
        <is>
          <t>Clause</t>
        </is>
      </c>
      <c r="B4" s="91" t="inlineStr">
        <is>
          <t>What is required</t>
        </is>
      </c>
      <c r="C4" s="91" t="inlineStr">
        <is>
          <t>What you show them</t>
        </is>
      </c>
      <c r="D4" s="91" t="inlineStr">
        <is>
          <t>Sheet</t>
        </is>
      </c>
    </row>
    <row r="5" ht="31.5" customHeight="1" s="55">
      <c r="A5" s="106" t="inlineStr">
        <is>
          <t>4.4.1</t>
        </is>
      </c>
      <c r="B5" s="130" t="inlineStr">
        <is>
          <t>The processes needed and their interaction</t>
        </is>
      </c>
      <c r="C5" s="130" t="inlineStr">
        <is>
          <t>The flow, including transport, setup and rework</t>
        </is>
      </c>
      <c r="D5" s="131" t="inlineStr">
        <is>
          <t>Form 1 Process Flow</t>
        </is>
      </c>
    </row>
    <row r="6" ht="31.5" customHeight="1" s="55">
      <c r="A6" s="132" t="inlineStr">
        <is>
          <t>6.1.1</t>
        </is>
      </c>
      <c r="B6" s="133" t="inlineStr">
        <is>
          <t>Risks and opportunities determined</t>
        </is>
      </c>
      <c r="C6" s="133" t="inlineStr">
        <is>
          <t>A row against process steps, not against departments</t>
        </is>
      </c>
      <c r="D6" s="134" t="inlineStr">
        <is>
          <t>Form 2 Risk Register</t>
        </is>
      </c>
    </row>
    <row r="7" ht="31.5" customHeight="1" s="55">
      <c r="A7" s="106" t="inlineStr">
        <is>
          <t>6.1.2 a</t>
        </is>
      </c>
      <c r="B7" s="130" t="inlineStr">
        <is>
          <t>Actions planned to address them</t>
        </is>
      </c>
      <c r="C7" s="130" t="inlineStr">
        <is>
          <t>The trigger rule, dated before scoring, plus the action lines</t>
        </is>
      </c>
      <c r="D7" s="131" t="inlineStr">
        <is>
          <t>Rating Scales / Form 3 Action Plan</t>
        </is>
      </c>
    </row>
    <row r="8" ht="31.5" customHeight="1" s="55">
      <c r="A8" s="132" t="inlineStr">
        <is>
          <t>6.1.2 b</t>
        </is>
      </c>
      <c r="B8" s="133" t="inlineStr">
        <is>
          <t>Actions integrated and effectiveness evaluated</t>
        </is>
      </c>
      <c r="C8" s="133" t="inlineStr">
        <is>
          <t>Verification fields completed at raising, with the result</t>
        </is>
      </c>
      <c r="D8" s="134" t="inlineStr">
        <is>
          <t>Form 3 Action Plan</t>
        </is>
      </c>
    </row>
    <row r="9" ht="31.5" customHeight="1" s="55">
      <c r="A9" s="106" t="inlineStr">
        <is>
          <t>7.1.5</t>
        </is>
      </c>
      <c r="B9" s="130" t="inlineStr">
        <is>
          <t>Monitoring and measuring resources fit for purpose</t>
        </is>
      </c>
      <c r="C9" s="130" t="inlineStr">
        <is>
          <t>Rows treating the inspection equipment itself as a failure mode</t>
        </is>
      </c>
      <c r="D9" s="131" t="inlineStr">
        <is>
          <t>Form 2 Risk Register</t>
        </is>
      </c>
    </row>
    <row r="10" ht="31.5" customHeight="1" s="55">
      <c r="A10" s="132" t="inlineStr">
        <is>
          <t>8.4</t>
        </is>
      </c>
      <c r="B10" s="133" t="inlineStr">
        <is>
          <t>Control of externally provided processes and products</t>
        </is>
      </c>
      <c r="C10" s="133" t="inlineStr">
        <is>
          <t>A completed assessment for every critical supplier</t>
        </is>
      </c>
      <c r="D10" s="134" t="inlineStr">
        <is>
          <t>Form 5 Supplier Risk</t>
        </is>
      </c>
    </row>
    <row r="11" ht="31.5" customHeight="1" s="55">
      <c r="A11" s="106" t="inlineStr">
        <is>
          <t>8.5.1</t>
        </is>
      </c>
      <c r="B11" s="130" t="inlineStr">
        <is>
          <t>Production under controlled conditions</t>
        </is>
      </c>
      <c r="C11" s="130" t="inlineStr">
        <is>
          <t>Current controls per row; actions that raise the control level</t>
        </is>
      </c>
      <c r="D11" s="131" t="inlineStr">
        <is>
          <t>Form 2 Risk Register</t>
        </is>
      </c>
    </row>
    <row r="12" ht="31.5" customHeight="1" s="55">
      <c r="A12" s="132" t="inlineStr">
        <is>
          <t>8.7</t>
        </is>
      </c>
      <c r="B12" s="133" t="inlineStr">
        <is>
          <t>Control of nonconforming outputs</t>
        </is>
      </c>
      <c r="C12" s="133" t="inlineStr">
        <is>
          <t>The rework loop assessed as a process, with repair limits</t>
        </is>
      </c>
      <c r="D12" s="134" t="inlineStr">
        <is>
          <t>Form 2 Risk Register</t>
        </is>
      </c>
    </row>
    <row r="13" ht="31.5" customHeight="1" s="55">
      <c r="A13" s="106" t="inlineStr">
        <is>
          <t>9.3</t>
        </is>
      </c>
      <c r="B13" s="130" t="inlineStr">
        <is>
          <t>Management review of the effectiveness of actions</t>
        </is>
      </c>
      <c r="C13" s="130" t="inlineStr">
        <is>
          <t>Dated entries with trigger, participants, changes, approval</t>
        </is>
      </c>
      <c r="D13" s="131" t="inlineStr">
        <is>
          <t>Form 4 Review Log</t>
        </is>
      </c>
    </row>
    <row r="14" ht="31.5" customHeight="1" s="55">
      <c r="A14" s="132" t="inlineStr">
        <is>
          <t>10.2</t>
        </is>
      </c>
      <c r="B14" s="133" t="inlineStr">
        <is>
          <t>Corrective action—cause, action, effectiveness</t>
        </is>
      </c>
      <c r="C14" s="133" t="inlineStr">
        <is>
          <t>The NCR/CAPA link and the re-score on closure</t>
        </is>
      </c>
      <c r="D14" s="134" t="inlineStr">
        <is>
          <t>Form 3 Action Plan</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D1"/>
    <mergeCell ref="A2:D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T36"/>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A MACHINING</t>
        </is>
      </c>
    </row>
    <row r="2" ht="15.75" customHeight="1" s="55">
      <c r="A2" s="87" t="inlineStr">
        <is>
          <t>CNC machining of a cast-iron housing—complete worked register from Part 2.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Step 1—Casting receipt and outside storage</t>
        </is>
      </c>
      <c r="T5" s="136" t="n"/>
    </row>
    <row r="6" ht="42" customHeight="1" s="55">
      <c r="A6" s="137" t="inlineStr">
        <is>
          <t>M-1.1</t>
        </is>
      </c>
      <c r="B6" s="137" t="inlineStr">
        <is>
          <t>1</t>
        </is>
      </c>
      <c r="C6" s="130" t="inlineStr">
        <is>
          <t>Casting receipt</t>
        </is>
      </c>
      <c r="D6" s="108" t="inlineStr">
        <is>
          <t>Casting supplied with the bore boss offset from the outer form</t>
        </is>
      </c>
      <c r="E6" s="108" t="inlineStr">
        <is>
          <t>datum error carried into every subsequent dimension; interference fit lost at the customer</t>
        </is>
      </c>
      <c r="F6" s="107" t="n">
        <v>9</v>
      </c>
      <c r="G6" s="108" t="inlineStr">
        <is>
          <t>Foundry pattern defect, undetected at source</t>
        </is>
      </c>
      <c r="H6" s="107" t="n">
        <v>8</v>
      </c>
      <c r="I6" s="108" t="inlineStr">
        <is>
          <t>None at receipt</t>
        </is>
      </c>
      <c r="J6" s="107" t="n">
        <v>9</v>
      </c>
      <c r="K6" s="98">
        <f>IF(COUNT(F6,H6,J6)=3,F6*H6*J6,"")</f>
        <v/>
      </c>
      <c r="L6" s="106">
        <f>IF(K6="","",IF(OR(F6&gt;=9,K6&gt;=100,AND(F6&gt;=7,J6&gt;=7)),"ACTION REQUIRED","Monitor"))</f>
        <v/>
      </c>
      <c r="M6" s="137" t="inlineStr">
        <is>
          <t>A-01</t>
        </is>
      </c>
      <c r="N6" s="130" t="inlineStr">
        <is>
          <t>1 Eliminate cause</t>
        </is>
      </c>
      <c r="O6" s="137" t="n">
        <v>9</v>
      </c>
      <c r="P6" s="137" t="n">
        <v>2</v>
      </c>
      <c r="Q6" s="137" t="n">
        <v>4</v>
      </c>
      <c r="R6" s="98">
        <f>IF(COUNT(O6,P6,Q6)=3,O6*P6*Q6,"")</f>
        <v/>
      </c>
      <c r="S6" s="109">
        <f>IF(AND(O6&lt;&gt;"",F6&lt;&gt;"",O6&lt;&gt;F6),"SEVERITY CHANGED","")</f>
        <v/>
      </c>
      <c r="T6" s="130" t="inlineStr">
        <is>
          <t>Supplier pattern replaced and verified by first article (level 1). Incoming boss-to-form check, five castings per pallet, added as a standing control.</t>
        </is>
      </c>
    </row>
    <row r="7" ht="42" customHeight="1" s="55">
      <c r="A7" s="137" t="inlineStr">
        <is>
          <t>M-1.2</t>
        </is>
      </c>
      <c r="B7" s="137" t="inlineStr">
        <is>
          <t>1</t>
        </is>
      </c>
      <c r="C7" s="130" t="inlineStr">
        <is>
          <t>Casting receipt</t>
        </is>
      </c>
      <c r="D7" s="108" t="inlineStr">
        <is>
          <t>Casting corroded or damaged in outside storage</t>
        </is>
      </c>
      <c r="E7" s="108" t="inlineStr">
        <is>
          <t>surface defect, rework or scrap</t>
        </is>
      </c>
      <c r="F7" s="107" t="n">
        <v>5</v>
      </c>
      <c r="G7" s="108" t="inlineStr">
        <is>
          <t>Uncovered storage; handling on pallets</t>
        </is>
      </c>
      <c r="H7" s="107" t="n">
        <v>4</v>
      </c>
      <c r="I7" s="108" t="inlineStr">
        <is>
          <t>Visual at issue</t>
        </is>
      </c>
      <c r="J7" s="107" t="n">
        <v>6</v>
      </c>
      <c r="K7" s="98">
        <f>IF(COUNT(F7,H7,J7)=3,F7*H7*J7,"")</f>
        <v/>
      </c>
      <c r="L7" s="106">
        <f>IF(K7="","",IF(OR(F7&gt;=9,K7&gt;=100,AND(F7&gt;=7,J7&gt;=7)),"ACTION REQUIRED","Monitor"))</f>
        <v/>
      </c>
      <c r="M7" s="137" t="inlineStr">
        <is>
          <t>A-02</t>
        </is>
      </c>
      <c r="N7" s="130" t="inlineStr">
        <is>
          <t>3 Automated control</t>
        </is>
      </c>
      <c r="O7" s="137" t="n">
        <v>5</v>
      </c>
      <c r="P7" s="137" t="n">
        <v>2</v>
      </c>
      <c r="Q7" s="137" t="n">
        <v>4</v>
      </c>
      <c r="R7" s="98">
        <f>IF(COUNT(O7,P7,Q7)=3,O7*P7*Q7,"")</f>
        <v/>
      </c>
      <c r="S7" s="109">
        <f>IF(AND(O7&lt;&gt;"",F7&lt;&gt;"",O7&lt;&gt;F7),"SEVERITY CHANGED","")</f>
        <v/>
      </c>
      <c r="T7" s="130" t="inlineStr">
        <is>
          <t>Castings moved under cover on receipt; pallets rotated by FIFO; condition recorded at issue.</t>
        </is>
      </c>
    </row>
    <row r="8" ht="42" customHeight="1" s="55">
      <c r="A8" s="137" t="inlineStr">
        <is>
          <t>M-1.3</t>
        </is>
      </c>
      <c r="B8" s="137" t="inlineStr">
        <is>
          <t>1</t>
        </is>
      </c>
      <c r="C8" s="130" t="inlineStr">
        <is>
          <t>Casting receipt</t>
        </is>
      </c>
      <c r="D8" s="108" t="inlineStr">
        <is>
          <t>Casting machined below stabilization temperature</t>
        </is>
      </c>
      <c r="E8" s="108" t="inlineStr">
        <is>
          <t>dimensions drift after inspection</t>
        </is>
      </c>
      <c r="F8" s="107" t="n">
        <v>6</v>
      </c>
      <c r="G8" s="108" t="inlineStr">
        <is>
          <t>No hold time defined; winter delivery straight to first operation</t>
        </is>
      </c>
      <c r="H8" s="107" t="n">
        <v>6</v>
      </c>
      <c r="I8" s="108" t="inlineStr">
        <is>
          <t>None</t>
        </is>
      </c>
      <c r="J8" s="107" t="n">
        <v>8</v>
      </c>
      <c r="K8" s="98">
        <f>IF(COUNT(F8,H8,J8)=3,F8*H8*J8,"")</f>
        <v/>
      </c>
      <c r="L8" s="106">
        <f>IF(K8="","",IF(OR(F8&gt;=9,K8&gt;=100,AND(F8&gt;=7,J8&gt;=7)),"ACTION REQUIRED","Monitor"))</f>
        <v/>
      </c>
      <c r="M8" s="137" t="inlineStr">
        <is>
          <t>A-03</t>
        </is>
      </c>
      <c r="N8" s="130" t="inlineStr">
        <is>
          <t>3 Automated control</t>
        </is>
      </c>
      <c r="O8" s="137" t="n">
        <v>6</v>
      </c>
      <c r="P8" s="137" t="n">
        <v>2</v>
      </c>
      <c r="Q8" s="137" t="n">
        <v>4</v>
      </c>
      <c r="R8" s="98">
        <f>IF(COUNT(O8,P8,Q8)=3,O8*P8*Q8,"")</f>
        <v/>
      </c>
      <c r="S8" s="109">
        <f>IF(AND(O8&lt;&gt;"",F8&lt;&gt;"",O8&lt;&gt;F8),"SEVERITY CHANGED","")</f>
        <v/>
      </c>
      <c r="T8" s="130" t="inlineStr">
        <is>
          <t>Minimum stabilization hold defined before the first operation; recorded on the route card.</t>
        </is>
      </c>
    </row>
    <row r="9" ht="18" customHeight="1" s="55">
      <c r="A9" s="135" t="inlineStr">
        <is>
          <t>Step 3—Face and locate</t>
        </is>
      </c>
      <c r="T9" s="136" t="n"/>
    </row>
    <row r="10" ht="42" customHeight="1" s="55">
      <c r="A10" s="137" t="inlineStr">
        <is>
          <t>M-3.1</t>
        </is>
      </c>
      <c r="B10" s="137" t="inlineStr">
        <is>
          <t>3</t>
        </is>
      </c>
      <c r="C10" s="130" t="inlineStr">
        <is>
          <t>Face and locate</t>
        </is>
      </c>
      <c r="D10" s="108" t="inlineStr">
        <is>
          <t>Datum taken from a cast surface that is itself out of position</t>
        </is>
      </c>
      <c r="E10" s="108" t="inlineStr">
        <is>
          <t>all subsequent dimensions displaced</t>
        </is>
      </c>
      <c r="F10" s="107" t="n">
        <v>9</v>
      </c>
      <c r="G10" s="108" t="inlineStr">
        <is>
          <t>Core shift (see M-1.1); locating surface never verified</t>
        </is>
      </c>
      <c r="H10" s="107" t="n">
        <v>6</v>
      </c>
      <c r="I10" s="108" t="inlineStr">
        <is>
          <t>First-off only</t>
        </is>
      </c>
      <c r="J10" s="107" t="n">
        <v>7</v>
      </c>
      <c r="K10" s="98">
        <f>IF(COUNT(F10,H10,J10)=3,F10*H10*J10,"")</f>
        <v/>
      </c>
      <c r="L10" s="106">
        <f>IF(K10="","",IF(OR(F10&gt;=9,K10&gt;=100,AND(F10&gt;=7,J10&gt;=7)),"ACTION REQUIRED","Monitor"))</f>
        <v/>
      </c>
      <c r="M10" s="137" t="inlineStr">
        <is>
          <t>A-04</t>
        </is>
      </c>
      <c r="N10" s="130" t="inlineStr">
        <is>
          <t>4 Detection</t>
        </is>
      </c>
      <c r="O10" s="137" t="n">
        <v>9</v>
      </c>
      <c r="P10" s="137" t="n">
        <v>2</v>
      </c>
      <c r="Q10" s="137" t="n">
        <v>4</v>
      </c>
      <c r="R10" s="98">
        <f>IF(COUNT(O10,P10,Q10)=3,O10*P10*Q10,"")</f>
        <v/>
      </c>
      <c r="S10" s="109">
        <f>IF(AND(O10&lt;&gt;"",F10&lt;&gt;"",O10&lt;&gt;F10),"SEVERITY CHANGED","")</f>
        <v/>
      </c>
      <c r="T10" s="130" t="inlineStr">
        <is>
          <t>Locating surface verified on the first casting of each pallet against the incoming check result.</t>
        </is>
      </c>
    </row>
    <row r="11" ht="18" customHeight="1" s="55">
      <c r="A11" s="135" t="inlineStr">
        <is>
          <t>Steps 5–6—Lathe setup and turning</t>
        </is>
      </c>
      <c r="T11" s="136" t="n"/>
    </row>
    <row r="12" ht="42" customHeight="1" s="55">
      <c r="A12" s="137" t="inlineStr">
        <is>
          <t>M-5.1</t>
        </is>
      </c>
      <c r="B12" s="137" t="inlineStr">
        <is>
          <t>5</t>
        </is>
      </c>
      <c r="C12" s="130" t="inlineStr">
        <is>
          <t>Lathe setup</t>
        </is>
      </c>
      <c r="D12" s="108" t="inlineStr">
        <is>
          <t>First-off accepted at the tolerance limit rather than mid-band</t>
        </is>
      </c>
      <c r="E12" s="108" t="inlineStr">
        <is>
          <t>drift exits tolerance during the run</t>
        </is>
      </c>
      <c r="F12" s="107" t="n">
        <v>7</v>
      </c>
      <c r="G12" s="108" t="inlineStr">
        <is>
          <t>No rule on where in the band a first-off must sit</t>
        </is>
      </c>
      <c r="H12" s="107" t="n">
        <v>6</v>
      </c>
      <c r="I12" s="108" t="inlineStr">
        <is>
          <t>Operator judgment</t>
        </is>
      </c>
      <c r="J12" s="107" t="n">
        <v>7</v>
      </c>
      <c r="K12" s="98">
        <f>IF(COUNT(F12,H12,J12)=3,F12*H12*J12,"")</f>
        <v/>
      </c>
      <c r="L12" s="106">
        <f>IF(K12="","",IF(OR(F12&gt;=9,K12&gt;=100,AND(F12&gt;=7,J12&gt;=7)),"ACTION REQUIRED","Monitor"))</f>
        <v/>
      </c>
      <c r="M12" s="137" t="inlineStr">
        <is>
          <t>A-05</t>
        </is>
      </c>
      <c r="N12" s="130" t="inlineStr">
        <is>
          <t>2 Error-proof</t>
        </is>
      </c>
      <c r="O12" s="137" t="n">
        <v>7</v>
      </c>
      <c r="P12" s="137" t="n">
        <v>3</v>
      </c>
      <c r="Q12" s="137" t="n">
        <v>5</v>
      </c>
      <c r="R12" s="98">
        <f>IF(COUNT(O12,P12,Q12)=3,O12*P12*Q12,"")</f>
        <v/>
      </c>
      <c r="S12" s="109">
        <f>IF(AND(O12&lt;&gt;"",F12&lt;&gt;"",O12&lt;&gt;F12),"SEVERITY CHANGED","")</f>
        <v/>
      </c>
      <c r="T12" s="130" t="inlineStr">
        <is>
          <t>Setup instruction now specifies that a first-off must fall within the middle half of the band; a first-off at the limit is a reject.</t>
        </is>
      </c>
    </row>
    <row r="13" ht="42" customHeight="1" s="55">
      <c r="A13" s="137" t="inlineStr">
        <is>
          <t>M-6.1</t>
        </is>
      </c>
      <c r="B13" s="137" t="inlineStr">
        <is>
          <t>6</t>
        </is>
      </c>
      <c r="C13" s="130" t="inlineStr">
        <is>
          <t>Turning</t>
        </is>
      </c>
      <c r="D13" s="108" t="inlineStr">
        <is>
          <t>Outside diameter out of tolerance</t>
        </is>
      </c>
      <c r="E13" s="108" t="inlineStr">
        <is>
          <t>assembly interference at the customer</t>
        </is>
      </c>
      <c r="F13" s="107" t="n">
        <v>8</v>
      </c>
      <c r="G13" s="108" t="inlineStr">
        <is>
          <t>Insert wear; offset error at setup</t>
        </is>
      </c>
      <c r="H13" s="107" t="n">
        <v>4</v>
      </c>
      <c r="I13" s="108" t="inlineStr">
        <is>
          <t>First and last piece</t>
        </is>
      </c>
      <c r="J13" s="107" t="n">
        <v>6</v>
      </c>
      <c r="K13" s="98">
        <f>IF(COUNT(F13,H13,J13)=3,F13*H13*J13,"")</f>
        <v/>
      </c>
      <c r="L13" s="106">
        <f>IF(K13="","",IF(OR(F13&gt;=9,K13&gt;=100,AND(F13&gt;=7,J13&gt;=7)),"ACTION REQUIRED","Monitor"))</f>
        <v/>
      </c>
      <c r="M13" s="137" t="inlineStr">
        <is>
          <t>A-06</t>
        </is>
      </c>
      <c r="N13" s="130" t="inlineStr">
        <is>
          <t>3 Automated control</t>
        </is>
      </c>
      <c r="O13" s="137" t="n">
        <v>8</v>
      </c>
      <c r="P13" s="137" t="n">
        <v>2</v>
      </c>
      <c r="Q13" s="137" t="n">
        <v>4</v>
      </c>
      <c r="R13" s="98">
        <f>IF(COUNT(O13,P13,Q13)=3,O13*P13*Q13,"")</f>
        <v/>
      </c>
      <c r="S13" s="109">
        <f>IF(AND(O13&lt;&gt;"",F13&lt;&gt;"",O13&lt;&gt;F13),"SEVERITY CHANGED","")</f>
        <v/>
      </c>
      <c r="T13" s="130" t="inlineStr">
        <is>
          <t>Insert replacement moved to a run-hours schedule; offset verified by a second person at setup.</t>
        </is>
      </c>
    </row>
    <row r="14" ht="18" customHeight="1" s="55">
      <c r="A14" s="135" t="inlineStr">
        <is>
          <t>Step 7—Move to cell two (shared trolley)</t>
        </is>
      </c>
      <c r="T14" s="136" t="n"/>
    </row>
    <row r="15" ht="42" customHeight="1" s="55">
      <c r="A15" s="137" t="inlineStr">
        <is>
          <t>M-7.1</t>
        </is>
      </c>
      <c r="B15" s="137" t="inlineStr">
        <is>
          <t>7</t>
        </is>
      </c>
      <c r="C15" s="130" t="inlineStr">
        <is>
          <t>Move to cell two</t>
        </is>
      </c>
      <c r="D15" s="108" t="inlineStr">
        <is>
          <t>Impact damage to machined surfaces in transit</t>
        </is>
      </c>
      <c r="E15" s="108" t="inlineStr">
        <is>
          <t>rework or scrap</t>
        </is>
      </c>
      <c r="F15" s="107" t="n">
        <v>5</v>
      </c>
      <c r="G15" s="108" t="inlineStr">
        <is>
          <t>Unpadded shared trolley</t>
        </is>
      </c>
      <c r="H15" s="107" t="n">
        <v>5</v>
      </c>
      <c r="I15" s="108" t="inlineStr">
        <is>
          <t>Visual at next operation</t>
        </is>
      </c>
      <c r="J15" s="107" t="n">
        <v>6</v>
      </c>
      <c r="K15" s="98">
        <f>IF(COUNT(F15,H15,J15)=3,F15*H15*J15,"")</f>
        <v/>
      </c>
      <c r="L15" s="106">
        <f>IF(K15="","",IF(OR(F15&gt;=9,K15&gt;=100,AND(F15&gt;=7,J15&gt;=7)),"ACTION REQUIRED","Monitor"))</f>
        <v/>
      </c>
      <c r="M15" s="137" t="inlineStr">
        <is>
          <t>A-07</t>
        </is>
      </c>
      <c r="N15" s="130" t="inlineStr">
        <is>
          <t>2 Error-proof</t>
        </is>
      </c>
      <c r="O15" s="137" t="n">
        <v>5</v>
      </c>
      <c r="P15" s="137" t="n">
        <v>2</v>
      </c>
      <c r="Q15" s="137" t="n">
        <v>5</v>
      </c>
      <c r="R15" s="98">
        <f>IF(COUNT(O15,P15,Q15)=3,O15*P15*Q15,"")</f>
        <v/>
      </c>
      <c r="S15" s="109">
        <f>IF(AND(O15&lt;&gt;"",F15&lt;&gt;"",O15&lt;&gt;F15),"SEVERITY CHANGED","")</f>
        <v/>
      </c>
      <c r="T15" s="130" t="inlineStr">
        <is>
          <t>Dedicated part trolley with fitted dunnage; machined faces no longer contact steel or each other in transit.</t>
        </is>
      </c>
    </row>
    <row r="16" ht="42" customHeight="1" s="55">
      <c r="A16" s="137" t="inlineStr">
        <is>
          <t>M-7.2</t>
        </is>
      </c>
      <c r="B16" s="137" t="inlineStr">
        <is>
          <t>7</t>
        </is>
      </c>
      <c r="C16" s="130" t="inlineStr">
        <is>
          <t>Move to cell two</t>
        </is>
      </c>
      <c r="D16" s="108" t="inlineStr">
        <is>
          <t>Conforming and scrap parts carried together</t>
        </is>
      </c>
      <c r="E16" s="108" t="inlineStr">
        <is>
          <t>nonconforming part re-enters the flow</t>
        </is>
      </c>
      <c r="F16" s="107" t="n">
        <v>9</v>
      </c>
      <c r="G16" s="108" t="inlineStr">
        <is>
          <t>Same trolley carries the red bin; no physical segregation</t>
        </is>
      </c>
      <c r="H16" s="107" t="n">
        <v>3</v>
      </c>
      <c r="I16" s="108" t="inlineStr">
        <is>
          <t>Red bin convention only</t>
        </is>
      </c>
      <c r="J16" s="107" t="n">
        <v>8</v>
      </c>
      <c r="K16" s="98">
        <f>IF(COUNT(F16,H16,J16)=3,F16*H16*J16,"")</f>
        <v/>
      </c>
      <c r="L16" s="106">
        <f>IF(K16="","",IF(OR(F16&gt;=9,K16&gt;=100,AND(F16&gt;=7,J16&gt;=7)),"ACTION REQUIRED","Monitor"))</f>
        <v/>
      </c>
      <c r="M16" s="137" t="inlineStr">
        <is>
          <t>A-08</t>
        </is>
      </c>
      <c r="N16" s="130" t="inlineStr">
        <is>
          <t>2 Error-proof</t>
        </is>
      </c>
      <c r="O16" s="137" t="n">
        <v>9</v>
      </c>
      <c r="P16" s="137" t="n">
        <v>1</v>
      </c>
      <c r="Q16" s="137" t="n">
        <v>5</v>
      </c>
      <c r="R16" s="98">
        <f>IF(COUNT(O16,P16,Q16)=3,O16*P16*Q16,"")</f>
        <v/>
      </c>
      <c r="S16" s="109">
        <f>IF(AND(O16&lt;&gt;"",F16&lt;&gt;"",O16&lt;&gt;F16),"SEVERITY CHANGED","")</f>
        <v/>
      </c>
      <c r="T16" s="130" t="inlineStr">
        <is>
          <t>Red bin removed from the transport trolley and fixed at the machine. Physical segregation, not convention.</t>
        </is>
      </c>
    </row>
    <row r="17" ht="18" customHeight="1" s="55">
      <c r="A17" s="135" t="inlineStr">
        <is>
          <t>Steps 8–9—Boring setup and bore</t>
        </is>
      </c>
      <c r="T17" s="136" t="n"/>
    </row>
    <row r="18" ht="42" customHeight="1" s="55">
      <c r="A18" s="137" t="inlineStr">
        <is>
          <t>M-8.1</t>
        </is>
      </c>
      <c r="B18" s="137" t="inlineStr">
        <is>
          <t>8</t>
        </is>
      </c>
      <c r="C18" s="130" t="inlineStr">
        <is>
          <t>Boring setup</t>
        </is>
      </c>
      <c r="D18" s="108" t="inlineStr">
        <is>
          <t>Insert changed at an interval that does not reflect actual tool life</t>
        </is>
      </c>
      <c r="E18" s="108" t="inlineStr">
        <is>
          <t>progressive bore drift above the upper limit</t>
        </is>
      </c>
      <c r="F18" s="107" t="n">
        <v>9</v>
      </c>
      <c r="G18" s="108" t="inlineStr">
        <is>
          <t>Setup card interval taken from a catalog and never validated; casting variation accelerates wear</t>
        </is>
      </c>
      <c r="H18" s="107" t="n">
        <v>8</v>
      </c>
      <c r="I18" s="108" t="inlineStr">
        <is>
          <t>First and last piece only; mid-run unmeasured</t>
        </is>
      </c>
      <c r="J18" s="107" t="n">
        <v>7</v>
      </c>
      <c r="K18" s="98">
        <f>IF(COUNT(F18,H18,J18)=3,F18*H18*J18,"")</f>
        <v/>
      </c>
      <c r="L18" s="106">
        <f>IF(K18="","",IF(OR(F18&gt;=9,K18&gt;=100,AND(F18&gt;=7,J18&gt;=7)),"ACTION REQUIRED","Monitor"))</f>
        <v/>
      </c>
      <c r="M18" s="137" t="inlineStr">
        <is>
          <t>A-09</t>
        </is>
      </c>
      <c r="N18" s="130" t="inlineStr">
        <is>
          <t>1 Eliminate cause</t>
        </is>
      </c>
      <c r="O18" s="137" t="n">
        <v>9</v>
      </c>
      <c r="P18" s="137" t="n">
        <v>2</v>
      </c>
      <c r="Q18" s="137" t="n">
        <v>5</v>
      </c>
      <c r="R18" s="98">
        <f>IF(COUNT(O18,P18,Q18)=3,O18*P18*Q18,"")</f>
        <v/>
      </c>
      <c r="S18" s="109">
        <f>IF(AND(O18&lt;&gt;"",F18&lt;&gt;"",O18&lt;&gt;F18),"SEVERITY CHANGED","")</f>
        <v/>
      </c>
      <c r="T18" s="130" t="inlineStr">
        <is>
          <t>Root cause reassigned after three-year history review: casting variation, not tool life. Pattern replaced (see M-1.1). Interval corrected to 300 on the setup card.</t>
        </is>
      </c>
    </row>
    <row r="19" ht="42" customHeight="1" s="55">
      <c r="A19" s="137" t="inlineStr">
        <is>
          <t>M-8.2</t>
        </is>
      </c>
      <c r="B19" s="137" t="inlineStr">
        <is>
          <t>8</t>
        </is>
      </c>
      <c r="C19" s="130" t="inlineStr">
        <is>
          <t>Boring setup</t>
        </is>
      </c>
      <c r="D19" s="108" t="inlineStr">
        <is>
          <t>Boring offset entered incorrectly at setup</t>
        </is>
      </c>
      <c r="E19" s="108" t="inlineStr">
        <is>
          <t>bore oversize or undersize from the first part</t>
        </is>
      </c>
      <c r="F19" s="107" t="n">
        <v>8</v>
      </c>
      <c r="G19" s="108" t="inlineStr">
        <is>
          <t>Manual entry; no verification beyond the first-off</t>
        </is>
      </c>
      <c r="H19" s="107" t="n">
        <v>3</v>
      </c>
      <c r="I19" s="108" t="inlineStr">
        <is>
          <t>First-off</t>
        </is>
      </c>
      <c r="J19" s="107" t="n">
        <v>5</v>
      </c>
      <c r="K19" s="98">
        <f>IF(COUNT(F19,H19,J19)=3,F19*H19*J19,"")</f>
        <v/>
      </c>
      <c r="L19" s="106">
        <f>IF(K19="","",IF(OR(F19&gt;=9,K19&gt;=100,AND(F19&gt;=7,J19&gt;=7)),"ACTION REQUIRED","Monitor"))</f>
        <v/>
      </c>
      <c r="M19" s="137" t="inlineStr">
        <is>
          <t>A-10</t>
        </is>
      </c>
      <c r="N19" s="130" t="inlineStr">
        <is>
          <t>5 Procedure</t>
        </is>
      </c>
      <c r="O19" s="137" t="n">
        <v>8</v>
      </c>
      <c r="P19" s="137" t="n">
        <v>2</v>
      </c>
      <c r="Q19" s="137" t="n">
        <v>5</v>
      </c>
      <c r="R19" s="98">
        <f>IF(COUNT(O19,P19,Q19)=3,O19*P19*Q19,"")</f>
        <v/>
      </c>
      <c r="S19" s="109">
        <f>IF(AND(O19&lt;&gt;"",F19&lt;&gt;"",O19&lt;&gt;F19),"SEVERITY CHANGED","")</f>
        <v/>
      </c>
      <c r="T19" s="130" t="inlineStr">
        <is>
          <t>Offset confirmed against a written value at setup and countersigned.</t>
        </is>
      </c>
    </row>
    <row r="20" ht="18" customHeight="1" s="55">
      <c r="A20" s="135" t="inlineStr">
        <is>
          <t>Step 10—Deburr bench (no owner)</t>
        </is>
      </c>
      <c r="T20" s="136" t="n"/>
    </row>
    <row r="21" ht="42" customHeight="1" s="55">
      <c r="A21" s="137" t="inlineStr">
        <is>
          <t>M-10.1</t>
        </is>
      </c>
      <c r="B21" s="137" t="inlineStr">
        <is>
          <t>10</t>
        </is>
      </c>
      <c r="C21" s="130" t="inlineStr">
        <is>
          <t>Deburr bench</t>
        </is>
      </c>
      <c r="D21" s="108" t="inlineStr">
        <is>
          <t>Burr left in the bore</t>
        </is>
      </c>
      <c r="E21" s="108" t="inlineStr">
        <is>
          <t>seal damage at customer assembly</t>
        </is>
      </c>
      <c r="F21" s="107" t="n">
        <v>7</v>
      </c>
      <c r="G21" s="108" t="inlineStr">
        <is>
          <t>Bench has no instruction and no acceptance criterion</t>
        </is>
      </c>
      <c r="H21" s="107" t="n">
        <v>5</v>
      </c>
      <c r="I21" s="108" t="inlineStr">
        <is>
          <t>Visual</t>
        </is>
      </c>
      <c r="J21" s="107" t="n">
        <v>7</v>
      </c>
      <c r="K21" s="98">
        <f>IF(COUNT(F21,H21,J21)=3,F21*H21*J21,"")</f>
        <v/>
      </c>
      <c r="L21" s="106">
        <f>IF(K21="","",IF(OR(F21&gt;=9,K21&gt;=100,AND(F21&gt;=7,J21&gt;=7)),"ACTION REQUIRED","Monitor"))</f>
        <v/>
      </c>
      <c r="M21" s="137" t="inlineStr">
        <is>
          <t>A-11</t>
        </is>
      </c>
      <c r="N21" s="130" t="inlineStr">
        <is>
          <t>3 Automated control</t>
        </is>
      </c>
      <c r="O21" s="137" t="n">
        <v>7</v>
      </c>
      <c r="P21" s="137" t="n">
        <v>3</v>
      </c>
      <c r="Q21" s="137" t="n">
        <v>5</v>
      </c>
      <c r="R21" s="98">
        <f>IF(COUNT(O21,P21,Q21)=3,O21*P21*Q21,"")</f>
        <v/>
      </c>
      <c r="S21" s="109">
        <f>IF(AND(O21&lt;&gt;"",F21&lt;&gt;"",O21&lt;&gt;F21),"SEVERITY CHANGED","")</f>
        <v/>
      </c>
      <c r="T21" s="130" t="inlineStr">
        <is>
          <t>Deburr bench given an operation number, an owner and a written acceptance criterion. Bore check added at the bench.</t>
        </is>
      </c>
    </row>
    <row r="22" ht="42" customHeight="1" s="55">
      <c r="A22" s="137" t="inlineStr">
        <is>
          <t>M-10.2</t>
        </is>
      </c>
      <c r="B22" s="137" t="inlineStr">
        <is>
          <t>10</t>
        </is>
      </c>
      <c r="C22" s="130" t="inlineStr">
        <is>
          <t>Deburr bench</t>
        </is>
      </c>
      <c r="D22" s="108" t="inlineStr">
        <is>
          <t>Handling damage to the bore at the bench</t>
        </is>
      </c>
      <c r="E22" s="108" t="inlineStr">
        <is>
          <t>surface defect</t>
        </is>
      </c>
      <c r="F22" s="107" t="n">
        <v>6</v>
      </c>
      <c r="G22" s="108" t="inlineStr">
        <is>
          <t>Parts handled by hand without a fixture</t>
        </is>
      </c>
      <c r="H22" s="107" t="n">
        <v>4</v>
      </c>
      <c r="I22" s="108" t="inlineStr">
        <is>
          <t>Visual</t>
        </is>
      </c>
      <c r="J22" s="107" t="n">
        <v>7</v>
      </c>
      <c r="K22" s="98">
        <f>IF(COUNT(F22,H22,J22)=3,F22*H22*J22,"")</f>
        <v/>
      </c>
      <c r="L22" s="106">
        <f>IF(K22="","",IF(OR(F22&gt;=9,K22&gt;=100,AND(F22&gt;=7,J22&gt;=7)),"ACTION REQUIRED","Monitor"))</f>
        <v/>
      </c>
      <c r="M22" s="137" t="inlineStr">
        <is>
          <t>A-12</t>
        </is>
      </c>
      <c r="N22" s="130" t="inlineStr">
        <is>
          <t>2 Error-proof</t>
        </is>
      </c>
      <c r="O22" s="137" t="n">
        <v>6</v>
      </c>
      <c r="P22" s="137" t="n">
        <v>2</v>
      </c>
      <c r="Q22" s="137" t="n">
        <v>5</v>
      </c>
      <c r="R22" s="98">
        <f>IF(COUNT(O22,P22,Q22)=3,O22*P22*Q22,"")</f>
        <v/>
      </c>
      <c r="S22" s="109">
        <f>IF(AND(O22&lt;&gt;"",F22&lt;&gt;"",O22&lt;&gt;F22),"SEVERITY CHANGED","")</f>
        <v/>
      </c>
      <c r="T22" s="130" t="inlineStr">
        <is>
          <t>Simple location fixture at the deburr bench; the bore is no longer handled to position the part.</t>
        </is>
      </c>
    </row>
    <row r="23" ht="18" customHeight="1" s="55">
      <c r="A23" s="135" t="inlineStr">
        <is>
          <t>Step 11—Wash</t>
        </is>
      </c>
      <c r="T23" s="136" t="n"/>
    </row>
    <row r="24" ht="42" customHeight="1" s="55">
      <c r="A24" s="137" t="inlineStr">
        <is>
          <t>M-11.1</t>
        </is>
      </c>
      <c r="B24" s="137" t="inlineStr">
        <is>
          <t>11</t>
        </is>
      </c>
      <c r="C24" s="130" t="inlineStr">
        <is>
          <t>Wash</t>
        </is>
      </c>
      <c r="D24" s="108" t="inlineStr">
        <is>
          <t>Residual swarf or coolant left in the bore</t>
        </is>
      </c>
      <c r="E24" s="108" t="inlineStr">
        <is>
          <t>contamination at customer assembly</t>
        </is>
      </c>
      <c r="F24" s="107" t="n">
        <v>7</v>
      </c>
      <c r="G24" s="108" t="inlineStr">
        <is>
          <t>Wash cycle never validated for blind features</t>
        </is>
      </c>
      <c r="H24" s="107" t="n">
        <v>4</v>
      </c>
      <c r="I24" s="108" t="inlineStr">
        <is>
          <t>Visual</t>
        </is>
      </c>
      <c r="J24" s="107" t="n">
        <v>7</v>
      </c>
      <c r="K24" s="98">
        <f>IF(COUNT(F24,H24,J24)=3,F24*H24*J24,"")</f>
        <v/>
      </c>
      <c r="L24" s="106">
        <f>IF(K24="","",IF(OR(F24&gt;=9,K24&gt;=100,AND(F24&gt;=7,J24&gt;=7)),"ACTION REQUIRED","Monitor"))</f>
        <v/>
      </c>
      <c r="M24" s="137" t="inlineStr">
        <is>
          <t>A-13</t>
        </is>
      </c>
      <c r="N24" s="130" t="inlineStr">
        <is>
          <t>3 Automated control</t>
        </is>
      </c>
      <c r="O24" s="137" t="n">
        <v>7</v>
      </c>
      <c r="P24" s="137" t="n">
        <v>2</v>
      </c>
      <c r="Q24" s="137" t="n">
        <v>5</v>
      </c>
      <c r="R24" s="98">
        <f>IF(COUNT(O24,P24,Q24)=3,O24*P24*Q24,"")</f>
        <v/>
      </c>
      <c r="S24" s="109">
        <f>IF(AND(O24&lt;&gt;"",F24&lt;&gt;"",O24&lt;&gt;F24),"SEVERITY CHANGED","")</f>
        <v/>
      </c>
      <c r="T24" s="130" t="inlineStr">
        <is>
          <t>Wash cycle validated for the blind bore; cleanliness criterion defined and sampled.</t>
        </is>
      </c>
    </row>
    <row r="25" ht="18" customHeight="1" s="55">
      <c r="A25" s="135" t="inlineStr">
        <is>
          <t>Step 12—Final inspection</t>
        </is>
      </c>
      <c r="T25" s="136" t="n"/>
    </row>
    <row r="26" ht="42" customHeight="1" s="55">
      <c r="A26" s="137" t="inlineStr">
        <is>
          <t>M-12.1</t>
        </is>
      </c>
      <c r="B26" s="137" t="inlineStr">
        <is>
          <t>12</t>
        </is>
      </c>
      <c r="C26" s="130" t="inlineStr">
        <is>
          <t>Final inspection</t>
        </is>
      </c>
      <c r="D26" s="108" t="inlineStr">
        <is>
          <t>Bore gauge out of calibration</t>
        </is>
      </c>
      <c r="E26" s="108" t="inlineStr">
        <is>
          <t>out-of-tolerance parts accepted</t>
        </is>
      </c>
      <c r="F26" s="107" t="n">
        <v>8</v>
      </c>
      <c r="G26" s="108" t="inlineStr">
        <is>
          <t>Annual calibration only; no verification at shift start</t>
        </is>
      </c>
      <c r="H26" s="107" t="n">
        <v>3</v>
      </c>
      <c r="I26" s="108" t="inlineStr">
        <is>
          <t>Calibration label</t>
        </is>
      </c>
      <c r="J26" s="107" t="n">
        <v>7</v>
      </c>
      <c r="K26" s="98">
        <f>IF(COUNT(F26,H26,J26)=3,F26*H26*J26,"")</f>
        <v/>
      </c>
      <c r="L26" s="106">
        <f>IF(K26="","",IF(OR(F26&gt;=9,K26&gt;=100,AND(F26&gt;=7,J26&gt;=7)),"ACTION REQUIRED","Monitor"))</f>
        <v/>
      </c>
      <c r="M26" s="137" t="inlineStr">
        <is>
          <t>A-14</t>
        </is>
      </c>
      <c r="N26" s="130" t="inlineStr">
        <is>
          <t>4 Detection</t>
        </is>
      </c>
      <c r="O26" s="137" t="n">
        <v>8</v>
      </c>
      <c r="P26" s="137" t="n">
        <v>2</v>
      </c>
      <c r="Q26" s="137" t="n">
        <v>3</v>
      </c>
      <c r="R26" s="98">
        <f>IF(COUNT(O26,P26,Q26)=3,O26*P26*Q26,"")</f>
        <v/>
      </c>
      <c r="S26" s="109">
        <f>IF(AND(O26&lt;&gt;"",F26&lt;&gt;"",O26&lt;&gt;F26),"SEVERITY CHANGED","")</f>
        <v/>
      </c>
      <c r="T26" s="130" t="inlineStr">
        <is>
          <t>Zero and reference verification of the bore gauge at each shift start, recorded on the inspection sheet.</t>
        </is>
      </c>
    </row>
    <row r="27" ht="42" customHeight="1" s="55">
      <c r="A27" s="137" t="inlineStr">
        <is>
          <t>M-12.2</t>
        </is>
      </c>
      <c r="B27" s="137" t="inlineStr">
        <is>
          <t>12</t>
        </is>
      </c>
      <c r="C27" s="130" t="inlineStr">
        <is>
          <t>Final inspection</t>
        </is>
      </c>
      <c r="D27" s="108" t="inlineStr">
        <is>
          <t>Parts measured before reaching ambient</t>
        </is>
      </c>
      <c r="E27" s="108" t="inlineStr">
        <is>
          <t>dimensions recorded at the wrong temperature</t>
        </is>
      </c>
      <c r="F27" s="107" t="n">
        <v>7</v>
      </c>
      <c r="G27" s="108" t="inlineStr">
        <is>
          <t>No hold time before measurement</t>
        </is>
      </c>
      <c r="H27" s="107" t="n">
        <v>5</v>
      </c>
      <c r="I27" s="108" t="inlineStr">
        <is>
          <t>None</t>
        </is>
      </c>
      <c r="J27" s="107" t="n">
        <v>8</v>
      </c>
      <c r="K27" s="98">
        <f>IF(COUNT(F27,H27,J27)=3,F27*H27*J27,"")</f>
        <v/>
      </c>
      <c r="L27" s="106">
        <f>IF(K27="","",IF(OR(F27&gt;=9,K27&gt;=100,AND(F27&gt;=7,J27&gt;=7)),"ACTION REQUIRED","Monitor"))</f>
        <v/>
      </c>
      <c r="M27" s="137" t="inlineStr">
        <is>
          <t>A-15</t>
        </is>
      </c>
      <c r="N27" s="130" t="inlineStr">
        <is>
          <t>3 Automated control</t>
        </is>
      </c>
      <c r="O27" s="137" t="n">
        <v>7</v>
      </c>
      <c r="P27" s="137" t="n">
        <v>2</v>
      </c>
      <c r="Q27" s="137" t="n">
        <v>4</v>
      </c>
      <c r="R27" s="98">
        <f>IF(COUNT(O27,P27,Q27)=3,O27*P27*Q27,"")</f>
        <v/>
      </c>
      <c r="S27" s="109">
        <f>IF(AND(O27&lt;&gt;"",F27&lt;&gt;"",O27&lt;&gt;F27),"SEVERITY CHANGED","")</f>
        <v/>
      </c>
      <c r="T27" s="130" t="inlineStr">
        <is>
          <t>Hold time before measurement defined and enforced by the inspection queue.</t>
        </is>
      </c>
    </row>
    <row r="28" ht="18" customHeight="1" s="55">
      <c r="A28" s="135" t="inlineStr">
        <is>
          <t>Step 13—Rework loop</t>
        </is>
      </c>
      <c r="T28" s="136" t="n"/>
    </row>
    <row r="29" ht="42" customHeight="1" s="55">
      <c r="A29" s="137" t="inlineStr">
        <is>
          <t>M-13.1</t>
        </is>
      </c>
      <c r="B29" s="137" t="inlineStr">
        <is>
          <t>13</t>
        </is>
      </c>
      <c r="C29" s="130" t="inlineStr">
        <is>
          <t>Rework loop</t>
        </is>
      </c>
      <c r="D29" s="108" t="inlineStr">
        <is>
          <t>Repeated rework on the same part</t>
        </is>
      </c>
      <c r="E29" s="108" t="inlineStr">
        <is>
          <t>wall thickness below drawing minimum</t>
        </is>
      </c>
      <c r="F29" s="107" t="n">
        <v>9</v>
      </c>
      <c r="G29" s="108" t="inlineStr">
        <is>
          <t>No cumulative rework limit or record per part</t>
        </is>
      </c>
      <c r="H29" s="107" t="n">
        <v>4</v>
      </c>
      <c r="I29" s="108" t="inlineStr">
        <is>
          <t>Operator judgment</t>
        </is>
      </c>
      <c r="J29" s="107" t="n">
        <v>8</v>
      </c>
      <c r="K29" s="98">
        <f>IF(COUNT(F29,H29,J29)=3,F29*H29*J29,"")</f>
        <v/>
      </c>
      <c r="L29" s="106">
        <f>IF(K29="","",IF(OR(F29&gt;=9,K29&gt;=100,AND(F29&gt;=7,J29&gt;=7)),"ACTION REQUIRED","Monitor"))</f>
        <v/>
      </c>
      <c r="M29" s="137" t="inlineStr">
        <is>
          <t>A-16</t>
        </is>
      </c>
      <c r="N29" s="130" t="inlineStr">
        <is>
          <t>3 Automated control</t>
        </is>
      </c>
      <c r="O29" s="137" t="n">
        <v>9</v>
      </c>
      <c r="P29" s="137" t="n">
        <v>2</v>
      </c>
      <c r="Q29" s="137" t="n">
        <v>4</v>
      </c>
      <c r="R29" s="98">
        <f>IF(COUNT(O29,P29,Q29)=3,O29*P29*Q29,"")</f>
        <v/>
      </c>
      <c r="S29" s="109">
        <f>IF(AND(O29&lt;&gt;"",F29&lt;&gt;"",O29&lt;&gt;F29),"SEVERITY CHANGED","")</f>
        <v/>
      </c>
      <c r="T29" s="130" t="inlineStr">
        <is>
          <t>Rework log per part identifier with a cumulative limit; QA disposition required above it.</t>
        </is>
      </c>
    </row>
    <row r="30" ht="42" customHeight="1" s="55">
      <c r="A30" s="137" t="inlineStr">
        <is>
          <t>M-13.2</t>
        </is>
      </c>
      <c r="B30" s="137" t="inlineStr">
        <is>
          <t>13</t>
        </is>
      </c>
      <c r="C30" s="130" t="inlineStr">
        <is>
          <t>Rework loop</t>
        </is>
      </c>
      <c r="D30" s="108" t="inlineStr">
        <is>
          <t>Reworked part released without re-inspection</t>
        </is>
      </c>
      <c r="E30" s="108" t="inlineStr">
        <is>
          <t>nonconforming part shipped</t>
        </is>
      </c>
      <c r="F30" s="107" t="n">
        <v>10</v>
      </c>
      <c r="G30" s="108" t="inlineStr">
        <is>
          <t>Step skipped under schedule pressure; procedural control only</t>
        </is>
      </c>
      <c r="H30" s="107" t="n">
        <v>3</v>
      </c>
      <c r="I30" s="108" t="inlineStr">
        <is>
          <t>QA signature</t>
        </is>
      </c>
      <c r="J30" s="107" t="n">
        <v>6</v>
      </c>
      <c r="K30" s="98">
        <f>IF(COUNT(F30,H30,J30)=3,F30*H30*J30,"")</f>
        <v/>
      </c>
      <c r="L30" s="106">
        <f>IF(K30="","",IF(OR(F30&gt;=9,K30&gt;=100,AND(F30&gt;=7,J30&gt;=7)),"ACTION REQUIRED","Monitor"))</f>
        <v/>
      </c>
      <c r="M30" s="137" t="inlineStr">
        <is>
          <t>A-17</t>
        </is>
      </c>
      <c r="N30" s="130" t="inlineStr">
        <is>
          <t>2 Error-proof</t>
        </is>
      </c>
      <c r="O30" s="137" t="n">
        <v>10</v>
      </c>
      <c r="P30" s="137" t="n">
        <v>1</v>
      </c>
      <c r="Q30" s="137" t="n">
        <v>2</v>
      </c>
      <c r="R30" s="98">
        <f>IF(COUNT(O30,P30,Q30)=3,O30*P30*Q30,"")</f>
        <v/>
      </c>
      <c r="S30" s="109">
        <f>IF(AND(O30&lt;&gt;"",F30&lt;&gt;"",O30&lt;&gt;F30),"SEVERITY CHANGED","")</f>
        <v/>
      </c>
      <c r="T30" s="130" t="inlineStr">
        <is>
          <t>Release blocked in the system until a re-inspection result is recorded against the part.</t>
        </is>
      </c>
    </row>
    <row r="31" ht="18" customHeight="1" s="55">
      <c r="A31" s="135" t="inlineStr">
        <is>
          <t>Step 14—Pack and dispatch</t>
        </is>
      </c>
      <c r="T31" s="136" t="n"/>
    </row>
    <row r="32" ht="42" customHeight="1" s="55">
      <c r="A32" s="137" t="inlineStr">
        <is>
          <t>M-14.1</t>
        </is>
      </c>
      <c r="B32" s="137" t="inlineStr">
        <is>
          <t>14</t>
        </is>
      </c>
      <c r="C32" s="130" t="inlineStr">
        <is>
          <t>Pack and dispatch</t>
        </is>
      </c>
      <c r="D32" s="108" t="inlineStr">
        <is>
          <t>Identification lost between inspection and pack</t>
        </is>
      </c>
      <c r="E32" s="108" t="inlineStr">
        <is>
          <t>wrong parts shipped; traceability broken</t>
        </is>
      </c>
      <c r="F32" s="107" t="n">
        <v>9</v>
      </c>
      <c r="G32" s="108" t="inlineStr">
        <is>
          <t>Marking removed by wash; manual transcription</t>
        </is>
      </c>
      <c r="H32" s="107" t="n">
        <v>4</v>
      </c>
      <c r="I32" s="108" t="inlineStr">
        <is>
          <t>Manual record</t>
        </is>
      </c>
      <c r="J32" s="107" t="n">
        <v>6</v>
      </c>
      <c r="K32" s="98">
        <f>IF(COUNT(F32,H32,J32)=3,F32*H32*J32,"")</f>
        <v/>
      </c>
      <c r="L32" s="106">
        <f>IF(K32="","",IF(OR(F32&gt;=9,K32&gt;=100,AND(F32&gt;=7,J32&gt;=7)),"ACTION REQUIRED","Monitor"))</f>
        <v/>
      </c>
      <c r="M32" s="137" t="inlineStr">
        <is>
          <t>A-18</t>
        </is>
      </c>
      <c r="N32" s="130" t="inlineStr">
        <is>
          <t>2 Error-proof</t>
        </is>
      </c>
      <c r="O32" s="137" t="n">
        <v>9</v>
      </c>
      <c r="P32" s="137" t="n">
        <v>2</v>
      </c>
      <c r="Q32" s="137" t="n">
        <v>3</v>
      </c>
      <c r="R32" s="98">
        <f>IF(COUNT(O32,P32,Q32)=3,O32*P32*Q32,"")</f>
        <v/>
      </c>
      <c r="S32" s="109">
        <f>IF(AND(O32&lt;&gt;"",F32&lt;&gt;"",O32&lt;&gt;F32),"SEVERITY CHANGED","")</f>
        <v/>
      </c>
      <c r="T32" s="130" t="inlineStr">
        <is>
          <t>Durable re-marking after wash; identifier scanned at pack against the inspection record.</t>
        </is>
      </c>
    </row>
    <row r="33" ht="18" customHeight="1" s="55">
      <c r="A33" s="135" t="inlineStr">
        <is>
          <t>Supplier—added after the second surveillance audit</t>
        </is>
      </c>
      <c r="T33" s="136" t="n"/>
    </row>
    <row r="34" ht="42" customHeight="1" s="55">
      <c r="A34" s="137" t="inlineStr">
        <is>
          <t>M-S.1</t>
        </is>
      </c>
      <c r="B34" s="137" t="inlineStr">
        <is>
          <t>S</t>
        </is>
      </c>
      <c r="C34" s="130" t="inlineStr">
        <is>
          <t>Supplier</t>
        </is>
      </c>
      <c r="D34" s="108" t="inlineStr">
        <is>
          <t>Foundry ceases supply or loses capability</t>
        </is>
      </c>
      <c r="E34" s="108" t="inlineStr">
        <is>
          <t>no source for the casting; production stops</t>
        </is>
      </c>
      <c r="F34" s="107" t="n">
        <v>9</v>
      </c>
      <c r="G34" s="108" t="inlineStr">
        <is>
          <t>Single source since 2015; no qualified alternative; 7–11 months to qualify one</t>
        </is>
      </c>
      <c r="H34" s="107" t="n">
        <v>2</v>
      </c>
      <c r="I34" s="108" t="inlineStr">
        <is>
          <t>None</t>
        </is>
      </c>
      <c r="J34" s="107" t="n">
        <v>10</v>
      </c>
      <c r="K34" s="98">
        <f>IF(COUNT(F34,H34,J34)=3,F34*H34*J34,"")</f>
        <v/>
      </c>
      <c r="L34" s="106">
        <f>IF(K34="","",IF(OR(F34&gt;=9,K34&gt;=100,AND(F34&gt;=7,J34&gt;=7)),"ACTION REQUIRED","Monitor"))</f>
        <v/>
      </c>
      <c r="M34" s="137" t="inlineStr">
        <is>
          <t>A-19</t>
        </is>
      </c>
      <c r="N34" s="130" t="inlineStr">
        <is>
          <t>— none affordable</t>
        </is>
      </c>
      <c r="O34" s="137" t="n">
        <v>9</v>
      </c>
      <c r="P34" s="137" t="n">
        <v>2</v>
      </c>
      <c r="Q34" s="137" t="n">
        <v>10</v>
      </c>
      <c r="R34" s="98">
        <f>IF(COUNT(O34,P34,Q34)=3,O34*P34*Q34,"")</f>
        <v/>
      </c>
      <c r="S34" s="109">
        <f>IF(AND(O34&lt;&gt;"",F34&lt;&gt;"",O34&lt;&gt;F34),"SEVERITY CHANGED","")</f>
        <v/>
      </c>
      <c r="T34" s="130" t="inlineStr">
        <is>
          <t>Accepted with rationale by the operations manager; second-source qualification costed and deferred to the April budget; reviewed at each management review.</t>
        </is>
      </c>
    </row>
    <row r="35" ht="15" customHeight="1" s="55">
      <c r="A35" s="92" t="n"/>
      <c r="B35" s="92" t="n"/>
      <c r="C35" s="93" t="n"/>
      <c r="D35" s="93" t="n"/>
      <c r="E35" s="93" t="n"/>
      <c r="F35" s="92" t="n"/>
      <c r="G35" s="93" t="n"/>
      <c r="H35" s="92" t="n"/>
      <c r="I35" s="93" t="n"/>
      <c r="J35" s="92" t="n"/>
      <c r="K35" s="98">
        <f>IF(COUNT(F35,H35,J35)=3,F35*H35*J35,"")</f>
        <v/>
      </c>
      <c r="L35" s="106">
        <f>IF(K35="","",IF(OR(F35&gt;=9,K35&gt;=100,AND(F35&gt;=7,J35&gt;=7)),"ACTION REQUIRED","Monitor"))</f>
        <v/>
      </c>
      <c r="M35" s="107" t="n"/>
      <c r="N35" s="108" t="n"/>
      <c r="O35" s="107" t="n"/>
      <c r="P35" s="107" t="n"/>
      <c r="Q35" s="107" t="n"/>
      <c r="R35" s="98">
        <f>IF(COUNT(O35,P35,Q35)=3,O35*P35*Q35,"")</f>
        <v/>
      </c>
      <c r="S35" s="109">
        <f>IF(AND(O35&lt;&gt;"",F35&lt;&gt;"",O35&lt;&gt;F35),"SEVERITY CHANGED","")</f>
        <v/>
      </c>
    </row>
    <row r="36" ht="15" customHeight="1" s="55">
      <c r="A36" s="92" t="n"/>
      <c r="B36" s="92" t="n"/>
      <c r="C36" s="93" t="n"/>
      <c r="D36" s="93" t="n"/>
      <c r="E36" s="93" t="n"/>
      <c r="F36" s="92" t="n"/>
      <c r="G36" s="93" t="n"/>
      <c r="H36" s="92" t="n"/>
      <c r="I36" s="93" t="n"/>
      <c r="J36" s="92" t="n"/>
      <c r="K36" s="98">
        <f>IF(COUNT(F36,H36,J36)=3,F36*H36*J36,"")</f>
        <v/>
      </c>
      <c r="L36" s="106">
        <f>IF(K36="","",IF(OR(F36&gt;=9,K36&gt;=100,AND(F36&gt;=7,J36&gt;=7)),"ACTION REQUIRED","Monitor"))</f>
        <v/>
      </c>
      <c r="M36" s="107" t="n"/>
      <c r="N36" s="108" t="n"/>
      <c r="O36" s="107" t="n"/>
      <c r="P36" s="107" t="n"/>
      <c r="Q36" s="107" t="n"/>
      <c r="R36" s="98">
        <f>IF(COUNT(O36,P36,Q36)=3,O36*P36*Q36,"")</f>
        <v/>
      </c>
      <c r="S36" s="109">
        <f>IF(AND(O36&lt;&gt;"",F36&lt;&gt;"",O36&lt;&gt;F36),"SEVERITY CHANGED","")</f>
        <v/>
      </c>
    </row>
  </sheetData>
  <sheetProtection selectLockedCells="0" selectUnlockedCells="0" sheet="1" objects="0" insertRows="1" insertHyperlinks="1" autoFilter="1" scenarios="0" formatColumns="1" deleteColumns="1" insertColumns="1" pivotTables="1" deleteRows="1" formatCells="1" formatRows="1" sort="1"/>
  <autoFilter ref="A4:T36"/>
  <mergeCells count="13">
    <mergeCell ref="A25:S25"/>
    <mergeCell ref="A33:S33"/>
    <mergeCell ref="A11:S11"/>
    <mergeCell ref="A5:S5"/>
    <mergeCell ref="A23:S23"/>
    <mergeCell ref="A28:S28"/>
    <mergeCell ref="A14:S14"/>
    <mergeCell ref="A1:S1"/>
    <mergeCell ref="A17:S17"/>
    <mergeCell ref="A9:S9"/>
    <mergeCell ref="A31:S31"/>
    <mergeCell ref="A20:S20"/>
    <mergeCell ref="A2:S2"/>
  </mergeCells>
  <conditionalFormatting sqref="L5:L36">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36">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36">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36">
    <cfRule type="expression" rank="0" priority="9" equalAverage="0" aboveAverage="0" dxfId="8" text="" percent="0" bottom="0">
      <formula>$S5&lt;&gt;""</formula>
    </cfRule>
  </conditionalFormatting>
  <conditionalFormatting sqref="N5:N36">
    <cfRule type="expression" rank="0" priority="10" equalAverage="0" aboveAverage="0" dxfId="9" text="" percent="0" bottom="0">
      <formula>LEFT($N5,1)="5"</formula>
    </cfRule>
  </conditionalFormatting>
  <dataValidations count="1">
    <dataValidation sqref="F5:F36 H5:H36 J5:J36 O5:Q36"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C9CCD2"/>
    <outlinePr summaryBelow="1" summaryRight="1"/>
    <pageSetUpPr fitToPage="0"/>
  </sheetPr>
  <dimension ref="A1:T30"/>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B COATING</t>
        </is>
      </c>
    </row>
    <row r="2" ht="15.75" customHeight="1" s="55">
      <c r="A2" s="87" t="inlineStr">
        <is>
          <t>Fusion-bonded epoxy pipe coating line—complete worked register from Part 2.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Stage 1—Surface preparation</t>
        </is>
      </c>
      <c r="T5" s="136" t="n"/>
    </row>
    <row r="6" ht="42" customHeight="1" s="55">
      <c r="A6" s="137" t="inlineStr">
        <is>
          <t>C-1.1</t>
        </is>
      </c>
      <c r="B6" s="137" t="inlineStr">
        <is>
          <t>1</t>
        </is>
      </c>
      <c r="C6" s="130" t="inlineStr">
        <is>
          <t>Surface preparation</t>
        </is>
      </c>
      <c r="D6" s="108" t="inlineStr">
        <is>
          <t>Anchor profile below specification</t>
        </is>
      </c>
      <c r="E6" s="108" t="inlineStr">
        <is>
          <t>insufficient adhesion; disbondment in service; pipeline corrosion</t>
        </is>
      </c>
      <c r="F6" s="107" t="n">
        <v>9</v>
      </c>
      <c r="G6" s="108" t="inlineStr">
        <is>
          <t>Degraded or undersized abrasive; low blast pressure</t>
        </is>
      </c>
      <c r="H6" s="107" t="n">
        <v>5</v>
      </c>
      <c r="I6" s="108" t="inlineStr">
        <is>
          <t>Replica tape, sampled each shift</t>
        </is>
      </c>
      <c r="J6" s="107" t="n">
        <v>6</v>
      </c>
      <c r="K6" s="98">
        <f>IF(COUNT(F6,H6,J6)=3,F6*H6*J6,"")</f>
        <v/>
      </c>
      <c r="L6" s="106">
        <f>IF(K6="","",IF(OR(F6&gt;=9,K6&gt;=100,AND(F6&gt;=7,J6&gt;=7)),"ACTION REQUIRED","Monitor"))</f>
        <v/>
      </c>
      <c r="M6" s="137" t="inlineStr">
        <is>
          <t>A-01</t>
        </is>
      </c>
      <c r="N6" s="130" t="inlineStr">
        <is>
          <t>3 Automated control</t>
        </is>
      </c>
      <c r="O6" s="137" t="n">
        <v>9</v>
      </c>
      <c r="P6" s="137" t="n">
        <v>3</v>
      </c>
      <c r="Q6" s="137" t="n">
        <v>3</v>
      </c>
      <c r="R6" s="98">
        <f>IF(COUNT(O6,P6,Q6)=3,O6*P6*Q6,"")</f>
        <v/>
      </c>
      <c r="S6" s="109">
        <f>IF(AND(O6&lt;&gt;"",F6&lt;&gt;"",O6&lt;&gt;F6),"SEVERITY CHANGED","")</f>
        <v/>
      </c>
      <c r="T6" s="130" t="inlineStr">
        <is>
          <t>Abrasive condition monitored each shift; low-pressure alarm on the line control system; profile verified at lot start and every two hours.</t>
        </is>
      </c>
    </row>
    <row r="7" ht="42" customHeight="1" s="55">
      <c r="A7" s="137" t="inlineStr">
        <is>
          <t>C-1.2</t>
        </is>
      </c>
      <c r="B7" s="137" t="inlineStr">
        <is>
          <t>1</t>
        </is>
      </c>
      <c r="C7" s="130" t="inlineStr">
        <is>
          <t>Surface preparation</t>
        </is>
      </c>
      <c r="D7" s="108" t="inlineStr">
        <is>
          <t>Surface contamination not removed (oil, soluble salts, moisture)</t>
        </is>
      </c>
      <c r="E7" s="108" t="inlineStr">
        <is>
          <t>localized disbondment and blistering</t>
        </is>
      </c>
      <c r="F7" s="107" t="n">
        <v>8</v>
      </c>
      <c r="G7" s="108" t="inlineStr">
        <is>
          <t>Oil carryover in compressed air; contaminated recycled abrasive</t>
        </is>
      </c>
      <c r="H7" s="107" t="n">
        <v>4</v>
      </c>
      <c r="I7" s="108" t="inlineStr">
        <is>
          <t>Blotter test at shift start; visual</t>
        </is>
      </c>
      <c r="J7" s="107" t="n">
        <v>7</v>
      </c>
      <c r="K7" s="98">
        <f>IF(COUNT(F7,H7,J7)=3,F7*H7*J7,"")</f>
        <v/>
      </c>
      <c r="L7" s="106">
        <f>IF(K7="","",IF(OR(F7&gt;=9,K7&gt;=100,AND(F7&gt;=7,J7&gt;=7)),"ACTION REQUIRED","Monitor"))</f>
        <v/>
      </c>
      <c r="M7" s="137" t="inlineStr">
        <is>
          <t>A-02</t>
        </is>
      </c>
      <c r="N7" s="130" t="inlineStr">
        <is>
          <t>3 Automated control</t>
        </is>
      </c>
      <c r="O7" s="137" t="n">
        <v>8</v>
      </c>
      <c r="P7" s="137" t="n">
        <v>3</v>
      </c>
      <c r="Q7" s="137" t="n">
        <v>4</v>
      </c>
      <c r="R7" s="98">
        <f>IF(COUNT(O7,P7,Q7)=3,O7*P7*Q7,"")</f>
        <v/>
      </c>
      <c r="S7" s="109">
        <f>IF(AND(O7&lt;&gt;"",F7&lt;&gt;"",O7&lt;&gt;F7),"SEVERITY CHANGED","")</f>
        <v/>
      </c>
      <c r="T7" s="130" t="inlineStr">
        <is>
          <t>Soluble salt testing added at defined frequency; air dryer and coalescing filter verified with a differential pressure alarm.</t>
        </is>
      </c>
    </row>
    <row r="8" ht="42" customHeight="1" s="55">
      <c r="A8" s="137" t="inlineStr">
        <is>
          <t>C-1.3</t>
        </is>
      </c>
      <c r="B8" s="137" t="inlineStr">
        <is>
          <t>1</t>
        </is>
      </c>
      <c r="C8" s="130" t="inlineStr">
        <is>
          <t>Surface preparation</t>
        </is>
      </c>
      <c r="D8" s="108" t="inlineStr">
        <is>
          <t>Flash rust between blast and coating</t>
        </is>
      </c>
      <c r="E8" s="108" t="inlineStr">
        <is>
          <t>rust layer trapped beneath the film</t>
        </is>
      </c>
      <c r="F8" s="107" t="n">
        <v>8</v>
      </c>
      <c r="G8" s="108" t="inlineStr">
        <is>
          <t>Blast-to-coat interval exceeded; steel temperature close to dew point</t>
        </is>
      </c>
      <c r="H8" s="107" t="n">
        <v>5</v>
      </c>
      <c r="I8" s="108" t="inlineStr">
        <is>
          <t>Operator judgment on holding time</t>
        </is>
      </c>
      <c r="J8" s="107" t="n">
        <v>7</v>
      </c>
      <c r="K8" s="98">
        <f>IF(COUNT(F8,H8,J8)=3,F8*H8*J8,"")</f>
        <v/>
      </c>
      <c r="L8" s="106">
        <f>IF(K8="","",IF(OR(F8&gt;=9,K8&gt;=100,AND(F8&gt;=7,J8&gt;=7)),"ACTION REQUIRED","Monitor"))</f>
        <v/>
      </c>
      <c r="M8" s="137" t="inlineStr">
        <is>
          <t>A-03</t>
        </is>
      </c>
      <c r="N8" s="130" t="inlineStr">
        <is>
          <t>2 Error-proof</t>
        </is>
      </c>
      <c r="O8" s="137" t="n">
        <v>8</v>
      </c>
      <c r="P8" s="137" t="n">
        <v>2</v>
      </c>
      <c r="Q8" s="137" t="n">
        <v>3</v>
      </c>
      <c r="R8" s="98">
        <f>IF(COUNT(O8,P8,Q8)=3,O8*P8*Q8,"")</f>
        <v/>
      </c>
      <c r="S8" s="109">
        <f>IF(AND(O8&lt;&gt;"",F8&lt;&gt;"",O8&lt;&gt;F8),"SEVERITY CHANGED","")</f>
        <v/>
      </c>
      <c r="T8" s="130" t="inlineStr">
        <is>
          <t>Maximum blast-to-coat interval enforced by the line tracking system; continuous dew point and steel temperature monitoring with automatic hold.</t>
        </is>
      </c>
    </row>
    <row r="9" ht="18" customHeight="1" s="55">
      <c r="A9" s="135" t="inlineStr">
        <is>
          <t>Stage 2—Induction heating</t>
        </is>
      </c>
      <c r="T9" s="136" t="n"/>
    </row>
    <row r="10" ht="42" customHeight="1" s="55">
      <c r="A10" s="137" t="inlineStr">
        <is>
          <t>C-2.1</t>
        </is>
      </c>
      <c r="B10" s="137" t="inlineStr">
        <is>
          <t>2</t>
        </is>
      </c>
      <c r="C10" s="130" t="inlineStr">
        <is>
          <t>Induction heating</t>
        </is>
      </c>
      <c r="D10" s="108" t="inlineStr">
        <is>
          <t>Pipe surface temperature below the specified window</t>
        </is>
      </c>
      <c r="E10" s="108" t="inlineStr">
        <is>
          <t>incomplete powder fusion; porosity, holidays, low adhesion</t>
        </is>
      </c>
      <c r="F10" s="107" t="n">
        <v>9</v>
      </c>
      <c r="G10" s="108" t="inlineStr">
        <is>
          <t>Induction power drift; line speed variation; uncalibrated pyrometer</t>
        </is>
      </c>
      <c r="H10" s="107" t="n">
        <v>6</v>
      </c>
      <c r="I10" s="108" t="inlineStr">
        <is>
          <t>Pyrometer reading, operator monitored</t>
        </is>
      </c>
      <c r="J10" s="107" t="n">
        <v>6</v>
      </c>
      <c r="K10" s="98">
        <f>IF(COUNT(F10,H10,J10)=3,F10*H10*J10,"")</f>
        <v/>
      </c>
      <c r="L10" s="106">
        <f>IF(K10="","",IF(OR(F10&gt;=9,K10&gt;=100,AND(F10&gt;=7,J10&gt;=7)),"ACTION REQUIRED","Monitor"))</f>
        <v/>
      </c>
      <c r="M10" s="137" t="inlineStr">
        <is>
          <t>A-04</t>
        </is>
      </c>
      <c r="N10" s="130" t="inlineStr">
        <is>
          <t>2 Error-proof</t>
        </is>
      </c>
      <c r="O10" s="137" t="n">
        <v>9</v>
      </c>
      <c r="P10" s="137" t="n">
        <v>2</v>
      </c>
      <c r="Q10" s="137" t="n">
        <v>2</v>
      </c>
      <c r="R10" s="98">
        <f>IF(COUNT(O10,P10,Q10)=3,O10*P10*Q10,"")</f>
        <v/>
      </c>
      <c r="S10" s="109">
        <f>IF(AND(O10&lt;&gt;"",F10&lt;&gt;"",O10&lt;&gt;F10),"SEVERITY CHANGED","")</f>
        <v/>
      </c>
      <c r="T10" s="130" t="inlineStr">
        <is>
          <t>Closed-loop temperature control: pyrometer feedback to induction power with automatic line stop outside the window. Temperature logged per pipe identifier.</t>
        </is>
      </c>
    </row>
    <row r="11" ht="42" customHeight="1" s="55">
      <c r="A11" s="137" t="inlineStr">
        <is>
          <t>C-2.2</t>
        </is>
      </c>
      <c r="B11" s="137" t="inlineStr">
        <is>
          <t>2</t>
        </is>
      </c>
      <c r="C11" s="130" t="inlineStr">
        <is>
          <t>Induction heating</t>
        </is>
      </c>
      <c r="D11" s="108" t="inlineStr">
        <is>
          <t>Pipe overheated above the window</t>
        </is>
      </c>
      <c r="E11" s="108" t="inlineStr">
        <is>
          <t>powder degradation; brittle coating; cracking</t>
        </is>
      </c>
      <c r="F11" s="107" t="n">
        <v>8</v>
      </c>
      <c r="G11" s="108" t="inlineStr">
        <is>
          <t>Induction left energized during a line stop</t>
        </is>
      </c>
      <c r="H11" s="107" t="n">
        <v>4</v>
      </c>
      <c r="I11" s="108" t="inlineStr">
        <is>
          <t>Pyrometer reading, operator monitored</t>
        </is>
      </c>
      <c r="J11" s="107" t="n">
        <v>6</v>
      </c>
      <c r="K11" s="98">
        <f>IF(COUNT(F11,H11,J11)=3,F11*H11*J11,"")</f>
        <v/>
      </c>
      <c r="L11" s="106">
        <f>IF(K11="","",IF(OR(F11&gt;=9,K11&gt;=100,AND(F11&gt;=7,J11&gt;=7)),"ACTION REQUIRED","Monitor"))</f>
        <v/>
      </c>
      <c r="M11" s="137" t="inlineStr">
        <is>
          <t>A-05</t>
        </is>
      </c>
      <c r="N11" s="130" t="inlineStr">
        <is>
          <t>2 Error-proof</t>
        </is>
      </c>
      <c r="O11" s="137" t="n">
        <v>8</v>
      </c>
      <c r="P11" s="137" t="n">
        <v>2</v>
      </c>
      <c r="Q11" s="137" t="n">
        <v>2</v>
      </c>
      <c r="R11" s="98">
        <f>IF(COUNT(O11,P11,Q11)=3,O11*P11*Q11,"")</f>
        <v/>
      </c>
      <c r="S11" s="109">
        <f>IF(AND(O11&lt;&gt;"",F11&lt;&gt;"",O11&lt;&gt;F11),"SEVERITY CHANGED","")</f>
        <v/>
      </c>
      <c r="T11" s="130" t="inlineStr">
        <is>
          <t>Induction power interlocked to line motion; power cuts automatically on line stop.</t>
        </is>
      </c>
    </row>
    <row r="12" ht="42" customHeight="1" s="55">
      <c r="A12" s="137" t="inlineStr">
        <is>
          <t>C-2.3</t>
        </is>
      </c>
      <c r="B12" s="137" t="inlineStr">
        <is>
          <t>2</t>
        </is>
      </c>
      <c r="C12" s="130" t="inlineStr">
        <is>
          <t>Induction heating</t>
        </is>
      </c>
      <c r="D12" s="108" t="inlineStr">
        <is>
          <t>Non-uniform circumferential temperature</t>
        </is>
      </c>
      <c r="E12" s="108" t="inlineStr">
        <is>
          <t>uneven fusion; variable film thickness</t>
        </is>
      </c>
      <c r="F12" s="107" t="n">
        <v>7</v>
      </c>
      <c r="G12" s="108" t="inlineStr">
        <is>
          <t>Coil misalignment; wall thickness variation</t>
        </is>
      </c>
      <c r="H12" s="107" t="n">
        <v>4</v>
      </c>
      <c r="I12" s="108" t="inlineStr">
        <is>
          <t>Single-point pyrometer only</t>
        </is>
      </c>
      <c r="J12" s="107" t="n">
        <v>8</v>
      </c>
      <c r="K12" s="98">
        <f>IF(COUNT(F12,H12,J12)=3,F12*H12*J12,"")</f>
        <v/>
      </c>
      <c r="L12" s="106">
        <f>IF(K12="","",IF(OR(F12&gt;=9,K12&gt;=100,AND(F12&gt;=7,J12&gt;=7)),"ACTION REQUIRED","Monitor"))</f>
        <v/>
      </c>
      <c r="M12" s="137" t="inlineStr">
        <is>
          <t>A-06</t>
        </is>
      </c>
      <c r="N12" s="130" t="inlineStr">
        <is>
          <t>4 Detection</t>
        </is>
      </c>
      <c r="O12" s="137" t="n">
        <v>7</v>
      </c>
      <c r="P12" s="137" t="n">
        <v>3</v>
      </c>
      <c r="Q12" s="137" t="n">
        <v>4</v>
      </c>
      <c r="R12" s="98">
        <f>IF(COUNT(O12,P12,Q12)=3,O12*P12*Q12,"")</f>
        <v/>
      </c>
      <c r="S12" s="109">
        <f>IF(AND(O12&lt;&gt;"",F12&lt;&gt;"",O12&lt;&gt;F12),"SEVERITY CHANGED","")</f>
        <v/>
      </c>
      <c r="T12" s="130" t="inlineStr">
        <is>
          <t>Scanning pyrometer at coating entry; coil alignment added to preventive maintenance.</t>
        </is>
      </c>
    </row>
    <row r="13" ht="18" customHeight="1" s="55">
      <c r="A13" s="135" t="inlineStr">
        <is>
          <t>Stage 3—Epoxy application</t>
        </is>
      </c>
      <c r="T13" s="136" t="n"/>
    </row>
    <row r="14" ht="42" customHeight="1" s="55">
      <c r="A14" s="137" t="inlineStr">
        <is>
          <t>C-3.1</t>
        </is>
      </c>
      <c r="B14" s="137" t="inlineStr">
        <is>
          <t>3</t>
        </is>
      </c>
      <c r="C14" s="130" t="inlineStr">
        <is>
          <t>Epoxy application</t>
        </is>
      </c>
      <c r="D14" s="108" t="inlineStr">
        <is>
          <t>Dry film thickness below minimum</t>
        </is>
      </c>
      <c r="E14" s="108" t="inlineStr">
        <is>
          <t>insufficient corrosion protection; premature failure in service</t>
        </is>
      </c>
      <c r="F14" s="107" t="n">
        <v>9</v>
      </c>
      <c r="G14" s="108" t="inlineStr">
        <is>
          <t>Line speed high; low powder feed; worn nozzles</t>
        </is>
      </c>
      <c r="H14" s="107" t="n">
        <v>5</v>
      </c>
      <c r="I14" s="108" t="inlineStr">
        <is>
          <t>DFT gauge, sampled</t>
        </is>
      </c>
      <c r="J14" s="107" t="n">
        <v>5</v>
      </c>
      <c r="K14" s="98">
        <f>IF(COUNT(F14,H14,J14)=3,F14*H14*J14,"")</f>
        <v/>
      </c>
      <c r="L14" s="106">
        <f>IF(K14="","",IF(OR(F14&gt;=9,K14&gt;=100,AND(F14&gt;=7,J14&gt;=7)),"ACTION REQUIRED","Monitor"))</f>
        <v/>
      </c>
      <c r="M14" s="137" t="inlineStr">
        <is>
          <t>A-07</t>
        </is>
      </c>
      <c r="N14" s="130" t="inlineStr">
        <is>
          <t>3 Automated control</t>
        </is>
      </c>
      <c r="O14" s="137" t="n">
        <v>9</v>
      </c>
      <c r="P14" s="137" t="n">
        <v>3</v>
      </c>
      <c r="Q14" s="137" t="n">
        <v>3</v>
      </c>
      <c r="R14" s="98">
        <f>IF(COUNT(O14,P14,Q14)=3,O14*P14*Q14,"")</f>
        <v/>
      </c>
      <c r="S14" s="109">
        <f>IF(AND(O14&lt;&gt;"",F14&lt;&gt;"",O14&lt;&gt;F14),"SEVERITY CHANGED","")</f>
        <v/>
      </c>
      <c r="T14" s="130" t="inlineStr">
        <is>
          <t>Powder feed interlocked to line speed with alarm outside the thickness band; nozzles replaced on a run-hours schedule.</t>
        </is>
      </c>
    </row>
    <row r="15" ht="42" customHeight="1" s="55">
      <c r="A15" s="137" t="inlineStr">
        <is>
          <t>C-3.2</t>
        </is>
      </c>
      <c r="B15" s="137" t="inlineStr">
        <is>
          <t>3</t>
        </is>
      </c>
      <c r="C15" s="130" t="inlineStr">
        <is>
          <t>Epoxy application</t>
        </is>
      </c>
      <c r="D15" s="108" t="inlineStr">
        <is>
          <t>Dry film thickness above maximum</t>
        </is>
      </c>
      <c r="E15" s="108" t="inlineStr">
        <is>
          <t>cracking risk; dimensional interference at the field joint</t>
        </is>
      </c>
      <c r="F15" s="107" t="n">
        <v>6</v>
      </c>
      <c r="G15" s="108" t="inlineStr">
        <is>
          <t>Line speed low; excessive feed rate</t>
        </is>
      </c>
      <c r="H15" s="107" t="n">
        <v>5</v>
      </c>
      <c r="I15" s="108" t="inlineStr">
        <is>
          <t>DFT gauge, sampled</t>
        </is>
      </c>
      <c r="J15" s="107" t="n">
        <v>5</v>
      </c>
      <c r="K15" s="98">
        <f>IF(COUNT(F15,H15,J15)=3,F15*H15*J15,"")</f>
        <v/>
      </c>
      <c r="L15" s="106">
        <f>IF(K15="","",IF(OR(F15&gt;=9,K15&gt;=100,AND(F15&gt;=7,J15&gt;=7)),"ACTION REQUIRED","Monitor"))</f>
        <v/>
      </c>
      <c r="M15" s="137" t="inlineStr">
        <is>
          <t>A-08</t>
        </is>
      </c>
      <c r="N15" s="130" t="inlineStr">
        <is>
          <t>3 Automated control</t>
        </is>
      </c>
      <c r="O15" s="137" t="n">
        <v>6</v>
      </c>
      <c r="P15" s="137" t="n">
        <v>3</v>
      </c>
      <c r="Q15" s="137" t="n">
        <v>3</v>
      </c>
      <c r="R15" s="98">
        <f>IF(COUNT(O15,P15,Q15)=3,O15*P15*Q15,"")</f>
        <v/>
      </c>
      <c r="S15" s="109">
        <f>IF(AND(O15&lt;&gt;"",F15&lt;&gt;"",O15&lt;&gt;F15),"SEVERITY CHANGED","")</f>
        <v/>
      </c>
      <c r="T15" s="130" t="inlineStr">
        <is>
          <t>Same interlocked control, upper limit.</t>
        </is>
      </c>
    </row>
    <row r="16" ht="42" customHeight="1" s="55">
      <c r="A16" s="137" t="inlineStr">
        <is>
          <t>C-3.3</t>
        </is>
      </c>
      <c r="B16" s="137" t="inlineStr">
        <is>
          <t>3</t>
        </is>
      </c>
      <c r="C16" s="130" t="inlineStr">
        <is>
          <t>Epoxy application</t>
        </is>
      </c>
      <c r="D16" s="108" t="inlineStr">
        <is>
          <t>Pinholes and holidays</t>
        </is>
      </c>
      <c r="E16" s="108" t="inlineStr">
        <is>
          <t>bare steel exposed; localized corrosion and cathodic disbondment</t>
        </is>
      </c>
      <c r="F16" s="107" t="n">
        <v>9</v>
      </c>
      <c r="G16" s="108" t="inlineStr">
        <is>
          <t>Steel outgassing; residual contamination; booth humidity</t>
        </is>
      </c>
      <c r="H16" s="107" t="n">
        <v>6</v>
      </c>
      <c r="I16" s="108" t="inlineStr">
        <is>
          <t>100% holiday detection downstream</t>
        </is>
      </c>
      <c r="J16" s="107" t="n">
        <v>3</v>
      </c>
      <c r="K16" s="98">
        <f>IF(COUNT(F16,H16,J16)=3,F16*H16*J16,"")</f>
        <v/>
      </c>
      <c r="L16" s="106">
        <f>IF(K16="","",IF(OR(F16&gt;=9,K16&gt;=100,AND(F16&gt;=7,J16&gt;=7)),"ACTION REQUIRED","Monitor"))</f>
        <v/>
      </c>
      <c r="M16" s="137" t="inlineStr">
        <is>
          <t>A-09</t>
        </is>
      </c>
      <c r="N16" s="130" t="inlineStr">
        <is>
          <t>1 Eliminate cause</t>
        </is>
      </c>
      <c r="O16" s="137" t="n">
        <v>9</v>
      </c>
      <c r="P16" s="137" t="n">
        <v>3</v>
      </c>
      <c r="Q16" s="137" t="n">
        <v>3</v>
      </c>
      <c r="R16" s="98">
        <f>IF(COUNT(O16,P16,Q16)=3,O16*P16*Q16,"")</f>
        <v/>
      </c>
      <c r="S16" s="109">
        <f>IF(AND(O16&lt;&gt;"",F16&lt;&gt;"",O16&lt;&gt;F16),"SEVERITY CHANGED","")</f>
        <v/>
      </c>
      <c r="T16" s="130" t="inlineStr">
        <is>
          <t>Aimed at the cause, not the detection: preheat hold defined for outgassing-prone grades; booth humidity controlled and recorded; Stage 1 contamination actions closed out.</t>
        </is>
      </c>
    </row>
    <row r="17" ht="18" customHeight="1" s="55">
      <c r="A17" s="135" t="inlineStr">
        <is>
          <t>Stage 4—Cooling and quench</t>
        </is>
      </c>
      <c r="T17" s="136" t="n"/>
    </row>
    <row r="18" ht="42" customHeight="1" s="55">
      <c r="A18" s="137" t="inlineStr">
        <is>
          <t>C-4.1</t>
        </is>
      </c>
      <c r="B18" s="137" t="inlineStr">
        <is>
          <t>4</t>
        </is>
      </c>
      <c r="C18" s="130" t="inlineStr">
        <is>
          <t>Cooling and quench</t>
        </is>
      </c>
      <c r="D18" s="108" t="inlineStr">
        <is>
          <t>Quench applied before minimum cure time</t>
        </is>
      </c>
      <c r="E18" s="108" t="inlineStr">
        <is>
          <t>incomplete cross-linking; low chemical and disbondment resistance</t>
        </is>
      </c>
      <c r="F18" s="107" t="n">
        <v>9</v>
      </c>
      <c r="G18" s="108" t="inlineStr">
        <is>
          <t>Line speed high for the quench station position</t>
        </is>
      </c>
      <c r="H18" s="107" t="n">
        <v>4</v>
      </c>
      <c r="I18" s="108" t="inlineStr">
        <is>
          <t>Cure verification on a lot sample</t>
        </is>
      </c>
      <c r="J18" s="107" t="n">
        <v>5</v>
      </c>
      <c r="K18" s="98">
        <f>IF(COUNT(F18,H18,J18)=3,F18*H18*J18,"")</f>
        <v/>
      </c>
      <c r="L18" s="106">
        <f>IF(K18="","",IF(OR(F18&gt;=9,K18&gt;=100,AND(F18&gt;=7,J18&gt;=7)),"ACTION REQUIRED","Monitor"))</f>
        <v/>
      </c>
      <c r="M18" s="137" t="inlineStr">
        <is>
          <t>A-10</t>
        </is>
      </c>
      <c r="N18" s="130" t="inlineStr">
        <is>
          <t>2 Error-proof</t>
        </is>
      </c>
      <c r="O18" s="137" t="n">
        <v>9</v>
      </c>
      <c r="P18" s="137" t="n">
        <v>2</v>
      </c>
      <c r="Q18" s="137" t="n">
        <v>4</v>
      </c>
      <c r="R18" s="98">
        <f>IF(COUNT(O18,P18,Q18)=3,O18*P18*Q18,"")</f>
        <v/>
      </c>
      <c r="S18" s="109">
        <f>IF(AND(O18&lt;&gt;"",F18&lt;&gt;"",O18&lt;&gt;F18),"SEVERITY CHANGED","")</f>
        <v/>
      </c>
      <c r="T18" s="130" t="inlineStr">
        <is>
          <t>Minimum cure time before quench interlocked to line speed; lot held pending the cure verification result.</t>
        </is>
      </c>
    </row>
    <row r="19" ht="42" customHeight="1" s="55">
      <c r="A19" s="137" t="inlineStr">
        <is>
          <t>C-4.2</t>
        </is>
      </c>
      <c r="B19" s="137" t="inlineStr">
        <is>
          <t>4</t>
        </is>
      </c>
      <c r="C19" s="130" t="inlineStr">
        <is>
          <t>Cooling and quench</t>
        </is>
      </c>
      <c r="D19" s="108" t="inlineStr">
        <is>
          <t>Thermal shock cracking from excessive cooling rate</t>
        </is>
      </c>
      <c r="E19" s="108" t="inlineStr">
        <is>
          <t>through-coating cracks</t>
        </is>
      </c>
      <c r="F19" s="107" t="n">
        <v>8</v>
      </c>
      <c r="G19" s="108" t="inlineStr">
        <is>
          <t>Quench water temperature low; quench positioned too close</t>
        </is>
      </c>
      <c r="H19" s="107" t="n">
        <v>3</v>
      </c>
      <c r="I19" s="108" t="inlineStr">
        <is>
          <t>Visual plus holiday detection</t>
        </is>
      </c>
      <c r="J19" s="107" t="n">
        <v>4</v>
      </c>
      <c r="K19" s="98">
        <f>IF(COUNT(F19,H19,J19)=3,F19*H19*J19,"")</f>
        <v/>
      </c>
      <c r="L19" s="106">
        <f>IF(K19="","",IF(OR(F19&gt;=9,K19&gt;=100,AND(F19&gt;=7,J19&gt;=7)),"ACTION REQUIRED","Monitor"))</f>
        <v/>
      </c>
      <c r="M19" s="107" t="n"/>
      <c r="N19" s="108" t="n"/>
      <c r="O19" s="107" t="n"/>
      <c r="P19" s="107" t="n"/>
      <c r="Q19" s="107" t="n"/>
      <c r="R19" s="98">
        <f>IF(COUNT(O19,P19,Q19)=3,O19*P19*Q19,"")</f>
        <v/>
      </c>
      <c r="S19" s="109">
        <f>IF(AND(O19&lt;&gt;"",F19&lt;&gt;"",O19&lt;&gt;F19),"SEVERITY CHANGED","")</f>
        <v/>
      </c>
      <c r="T19" s="136" t="n"/>
    </row>
    <row r="20" ht="42" customHeight="1" s="55">
      <c r="A20" s="137" t="inlineStr">
        <is>
          <t>C-4.3</t>
        </is>
      </c>
      <c r="B20" s="137" t="inlineStr">
        <is>
          <t>4</t>
        </is>
      </c>
      <c r="C20" s="130" t="inlineStr">
        <is>
          <t>Cooling and quench</t>
        </is>
      </c>
      <c r="D20" s="108" t="inlineStr">
        <is>
          <t>Blistering from entrapped moisture or gas</t>
        </is>
      </c>
      <c r="E20" s="108" t="inlineStr">
        <is>
          <t>localized disbondment</t>
        </is>
      </c>
      <c r="F20" s="107" t="n">
        <v>8</v>
      </c>
      <c r="G20" s="108" t="inlineStr">
        <is>
          <t>Moisture on steel; substrate outgassing</t>
        </is>
      </c>
      <c r="H20" s="107" t="n">
        <v>3</v>
      </c>
      <c r="I20" s="108" t="inlineStr">
        <is>
          <t>100% visual plus holiday detection</t>
        </is>
      </c>
      <c r="J20" s="107" t="n">
        <v>5</v>
      </c>
      <c r="K20" s="98">
        <f>IF(COUNT(F20,H20,J20)=3,F20*H20*J20,"")</f>
        <v/>
      </c>
      <c r="L20" s="106">
        <f>IF(K20="","",IF(OR(F20&gt;=9,K20&gt;=100,AND(F20&gt;=7,J20&gt;=7)),"ACTION REQUIRED","Monitor"))</f>
        <v/>
      </c>
      <c r="M20" s="137" t="inlineStr">
        <is>
          <t>A-11</t>
        </is>
      </c>
      <c r="N20" s="130" t="inlineStr">
        <is>
          <t>3 Automated control</t>
        </is>
      </c>
      <c r="O20" s="137" t="n">
        <v>8</v>
      </c>
      <c r="P20" s="137" t="n">
        <v>2</v>
      </c>
      <c r="Q20" s="137" t="n">
        <v>4</v>
      </c>
      <c r="R20" s="98">
        <f>IF(COUNT(O20,P20,Q20)=3,O20*P20*Q20,"")</f>
        <v/>
      </c>
      <c r="S20" s="109">
        <f>IF(AND(O20&lt;&gt;"",F20&lt;&gt;"",O20&lt;&gt;F20),"SEVERITY CHANGED","")</f>
        <v/>
      </c>
      <c r="T20" s="130" t="inlineStr">
        <is>
          <t>Quench water temperature and quality controlled and recorded with alarm on deviation.</t>
        </is>
      </c>
    </row>
    <row r="21" ht="18" customHeight="1" s="55">
      <c r="A21" s="135" t="inlineStr">
        <is>
          <t>Stage 5—Holiday detection</t>
        </is>
      </c>
      <c r="T21" s="136" t="n"/>
    </row>
    <row r="22" ht="42" customHeight="1" s="55">
      <c r="A22" s="137" t="inlineStr">
        <is>
          <t>C-5.1</t>
        </is>
      </c>
      <c r="B22" s="137" t="inlineStr">
        <is>
          <t>5</t>
        </is>
      </c>
      <c r="C22" s="130" t="inlineStr">
        <is>
          <t>Holiday detection</t>
        </is>
      </c>
      <c r="D22" s="108" t="inlineStr">
        <is>
          <t>Detector voltage set below the value required for the specified film thickness</t>
        </is>
      </c>
      <c r="E22" s="108" t="inlineStr">
        <is>
          <t>real holidays pass undetected; defective pipe released</t>
        </is>
      </c>
      <c r="F22" s="107" t="n">
        <v>10</v>
      </c>
      <c r="G22" s="108" t="inlineStr">
        <is>
          <t>Voltage not adjusted for coating thickness; wrong product recipe selected</t>
        </is>
      </c>
      <c r="H22" s="107" t="n">
        <v>4</v>
      </c>
      <c r="I22" s="108" t="inlineStr">
        <is>
          <t>Operator sets voltage per procedure</t>
        </is>
      </c>
      <c r="J22" s="107" t="n">
        <v>8</v>
      </c>
      <c r="K22" s="98">
        <f>IF(COUNT(F22,H22,J22)=3,F22*H22*J22,"")</f>
        <v/>
      </c>
      <c r="L22" s="106">
        <f>IF(K22="","",IF(OR(F22&gt;=9,K22&gt;=100,AND(F22&gt;=7,J22&gt;=7)),"ACTION REQUIRED","Monitor"))</f>
        <v/>
      </c>
      <c r="M22" s="137" t="inlineStr">
        <is>
          <t>A-12</t>
        </is>
      </c>
      <c r="N22" s="130" t="inlineStr">
        <is>
          <t>2 Error-proof</t>
        </is>
      </c>
      <c r="O22" s="137" t="n">
        <v>10</v>
      </c>
      <c r="P22" s="137" t="n">
        <v>2</v>
      </c>
      <c r="Q22" s="137" t="n">
        <v>2</v>
      </c>
      <c r="R22" s="98">
        <f>IF(COUNT(O22,P22,Q22)=3,O22*P22*Q22,"")</f>
        <v/>
      </c>
      <c r="S22" s="109">
        <f>IF(AND(O22&lt;&gt;"",F22&lt;&gt;"",O22&lt;&gt;F22),"SEVERITY CHANGED","")</f>
        <v/>
      </c>
      <c r="T22" s="130" t="inlineStr">
        <is>
          <t>Detector verified daily against a reference standard containing an artificial holiday of known size; voltage locked per product code in the recipe.</t>
        </is>
      </c>
    </row>
    <row r="23" ht="42" customHeight="1" s="55">
      <c r="A23" s="137" t="inlineStr">
        <is>
          <t>C-5.2</t>
        </is>
      </c>
      <c r="B23" s="137" t="inlineStr">
        <is>
          <t>5</t>
        </is>
      </c>
      <c r="C23" s="130" t="inlineStr">
        <is>
          <t>Holiday detection</t>
        </is>
      </c>
      <c r="D23" s="108" t="inlineStr">
        <is>
          <t>DFT gauge out of calibration</t>
        </is>
      </c>
      <c r="E23" s="108" t="inlineStr">
        <is>
          <t>out-of-specification coating accepted</t>
        </is>
      </c>
      <c r="F23" s="107" t="n">
        <v>8</v>
      </c>
      <c r="G23" s="108" t="inlineStr">
        <is>
          <t>Annual calibration only; wrong substrate calibration</t>
        </is>
      </c>
      <c r="H23" s="107" t="n">
        <v>3</v>
      </c>
      <c r="I23" s="108" t="inlineStr">
        <is>
          <t>Calibration label</t>
        </is>
      </c>
      <c r="J23" s="107" t="n">
        <v>7</v>
      </c>
      <c r="K23" s="98">
        <f>IF(COUNT(F23,H23,J23)=3,F23*H23*J23,"")</f>
        <v/>
      </c>
      <c r="L23" s="106">
        <f>IF(K23="","",IF(OR(F23&gt;=9,K23&gt;=100,AND(F23&gt;=7,J23&gt;=7)),"ACTION REQUIRED","Monitor"))</f>
        <v/>
      </c>
      <c r="M23" s="137" t="inlineStr">
        <is>
          <t>A-13</t>
        </is>
      </c>
      <c r="N23" s="130" t="inlineStr">
        <is>
          <t>4 Detection</t>
        </is>
      </c>
      <c r="O23" s="137" t="n">
        <v>8</v>
      </c>
      <c r="P23" s="137" t="n">
        <v>2</v>
      </c>
      <c r="Q23" s="137" t="n">
        <v>3</v>
      </c>
      <c r="R23" s="98">
        <f>IF(COUNT(O23,P23,Q23)=3,O23*P23*Q23,"")</f>
        <v/>
      </c>
      <c r="S23" s="109">
        <f>IF(AND(O23&lt;&gt;"",F23&lt;&gt;"",O23&lt;&gt;F23),"SEVERITY CHANGED","")</f>
        <v/>
      </c>
      <c r="T23" s="130" t="inlineStr">
        <is>
          <t>Zero and reference verification at each shift start, recorded on the inspection sheet.</t>
        </is>
      </c>
    </row>
    <row r="24" ht="42" customHeight="1" s="55">
      <c r="A24" s="137" t="inlineStr">
        <is>
          <t>C-5.3</t>
        </is>
      </c>
      <c r="B24" s="137" t="inlineStr">
        <is>
          <t>5</t>
        </is>
      </c>
      <c r="C24" s="130" t="inlineStr">
        <is>
          <t>Holiday detection</t>
        </is>
      </c>
      <c r="D24" s="108" t="inlineStr">
        <is>
          <t>Traceability lost between coating and inspection</t>
        </is>
      </c>
      <c r="E24" s="108" t="inlineStr">
        <is>
          <t>nonconforming pipe cannot be segregated</t>
        </is>
      </c>
      <c r="F24" s="107" t="n">
        <v>9</v>
      </c>
      <c r="G24" s="108" t="inlineStr">
        <is>
          <t>Marking removed by blasting or coating; manual transcription</t>
        </is>
      </c>
      <c r="H24" s="107" t="n">
        <v>4</v>
      </c>
      <c r="I24" s="108" t="inlineStr">
        <is>
          <t>Manual pipe number record</t>
        </is>
      </c>
      <c r="J24" s="107" t="n">
        <v>6</v>
      </c>
      <c r="K24" s="98">
        <f>IF(COUNT(F24,H24,J24)=3,F24*H24*J24,"")</f>
        <v/>
      </c>
      <c r="L24" s="106">
        <f>IF(K24="","",IF(OR(F24&gt;=9,K24&gt;=100,AND(F24&gt;=7,J24&gt;=7)),"ACTION REQUIRED","Monitor"))</f>
        <v/>
      </c>
      <c r="M24" s="137" t="inlineStr">
        <is>
          <t>A-14</t>
        </is>
      </c>
      <c r="N24" s="130" t="inlineStr">
        <is>
          <t>2 Error-proof</t>
        </is>
      </c>
      <c r="O24" s="137" t="n">
        <v>9</v>
      </c>
      <c r="P24" s="137" t="n">
        <v>2</v>
      </c>
      <c r="Q24" s="137" t="n">
        <v>3</v>
      </c>
      <c r="R24" s="98">
        <f>IF(COUNT(O24,P24,Q24)=3,O24*P24*Q24,"")</f>
        <v/>
      </c>
      <c r="S24" s="109">
        <f>IF(AND(O24&lt;&gt;"",F24&lt;&gt;"",O24&lt;&gt;F24),"SEVERITY CHANGED","")</f>
        <v/>
      </c>
      <c r="T24" s="130" t="inlineStr">
        <is>
          <t>Durable re-marking after blasting; identifier scanned at each station and tied to the process data log.</t>
        </is>
      </c>
    </row>
    <row r="25" ht="18" customHeight="1" s="55">
      <c r="A25" s="135" t="inlineStr">
        <is>
          <t>Stage 6—Repair and release</t>
        </is>
      </c>
      <c r="T25" s="136" t="n"/>
    </row>
    <row r="26" ht="42" customHeight="1" s="55">
      <c r="A26" s="137" t="inlineStr">
        <is>
          <t>C-6.1</t>
        </is>
      </c>
      <c r="B26" s="137" t="inlineStr">
        <is>
          <t>6</t>
        </is>
      </c>
      <c r="C26" s="130" t="inlineStr">
        <is>
          <t>Repair and release</t>
        </is>
      </c>
      <c r="D26" s="108" t="inlineStr">
        <is>
          <t>Repair applied outside the repair material’s specified conditions</t>
        </is>
      </c>
      <c r="E26" s="108" t="inlineStr">
        <is>
          <t>patch disbonds in service</t>
        </is>
      </c>
      <c r="F26" s="107" t="n">
        <v>9</v>
      </c>
      <c r="G26" s="108" t="inlineStr">
        <is>
          <t>Ambient temperature or humidity out of specification; mix ratio error; expired material</t>
        </is>
      </c>
      <c r="H26" s="107" t="n">
        <v>5</v>
      </c>
      <c r="I26" s="108" t="inlineStr">
        <is>
          <t>Written repair procedure</t>
        </is>
      </c>
      <c r="J26" s="107" t="n">
        <v>7</v>
      </c>
      <c r="K26" s="98">
        <f>IF(COUNT(F26,H26,J26)=3,F26*H26*J26,"")</f>
        <v/>
      </c>
      <c r="L26" s="106">
        <f>IF(K26="","",IF(OR(F26&gt;=9,K26&gt;=100,AND(F26&gt;=7,J26&gt;=7)),"ACTION REQUIRED","Monitor"))</f>
        <v/>
      </c>
      <c r="M26" s="137" t="inlineStr">
        <is>
          <t>A-15</t>
        </is>
      </c>
      <c r="N26" s="130" t="inlineStr">
        <is>
          <t>2 Error-proof</t>
        </is>
      </c>
      <c r="O26" s="137" t="n">
        <v>9</v>
      </c>
      <c r="P26" s="137" t="n">
        <v>2</v>
      </c>
      <c r="Q26" s="137" t="n">
        <v>3</v>
      </c>
      <c r="R26" s="98">
        <f>IF(COUNT(O26,P26,Q26)=3,O26*P26*Q26,"")</f>
        <v/>
      </c>
      <c r="S26" s="109">
        <f>IF(AND(O26&lt;&gt;"",F26&lt;&gt;"",O26&lt;&gt;F26),"SEVERITY CHANGED","")</f>
        <v/>
      </c>
      <c r="T26" s="130" t="inlineStr">
        <is>
          <t>Pre-measured two-component repair cartridges eliminate mix ratio error; FIFO and expiry check at issue; repair conditions recorded; repair operators qualified.</t>
        </is>
      </c>
    </row>
    <row r="27" ht="42" customHeight="1" s="55">
      <c r="A27" s="137" t="inlineStr">
        <is>
          <t>C-6.2</t>
        </is>
      </c>
      <c r="B27" s="137" t="inlineStr">
        <is>
          <t>6</t>
        </is>
      </c>
      <c r="C27" s="130" t="inlineStr">
        <is>
          <t>Repair and release</t>
        </is>
      </c>
      <c r="D27" s="108" t="inlineStr">
        <is>
          <t>Repaired area exceeds the allowable size or density</t>
        </is>
      </c>
      <c r="E27" s="108" t="inlineStr">
        <is>
          <t>pipe accepted that should have been stripped</t>
        </is>
      </c>
      <c r="F27" s="107" t="n">
        <v>8</v>
      </c>
      <c r="G27" s="108" t="inlineStr">
        <is>
          <t>No cumulative tracking of repairs per pipe</t>
        </is>
      </c>
      <c r="H27" s="107" t="n">
        <v>5</v>
      </c>
      <c r="I27" s="108" t="inlineStr">
        <is>
          <t>Operator judgment</t>
        </is>
      </c>
      <c r="J27" s="107" t="n">
        <v>8</v>
      </c>
      <c r="K27" s="98">
        <f>IF(COUNT(F27,H27,J27)=3,F27*H27*J27,"")</f>
        <v/>
      </c>
      <c r="L27" s="106">
        <f>IF(K27="","",IF(OR(F27&gt;=9,K27&gt;=100,AND(F27&gt;=7,J27&gt;=7)),"ACTION REQUIRED","Monitor"))</f>
        <v/>
      </c>
      <c r="M27" s="137" t="inlineStr">
        <is>
          <t>A-16</t>
        </is>
      </c>
      <c r="N27" s="130" t="inlineStr">
        <is>
          <t>3 Automated control</t>
        </is>
      </c>
      <c r="O27" s="137" t="n">
        <v>8</v>
      </c>
      <c r="P27" s="137" t="n">
        <v>2</v>
      </c>
      <c r="Q27" s="137" t="n">
        <v>3</v>
      </c>
      <c r="R27" s="98">
        <f>IF(COUNT(O27,P27,Q27)=3,O27*P27*Q27,"")</f>
        <v/>
      </c>
      <c r="S27" s="109">
        <f>IF(AND(O27&lt;&gt;"",F27&lt;&gt;"",O27&lt;&gt;F27),"SEVERITY CHANGED","")</f>
        <v/>
      </c>
      <c r="T27" s="130" t="inlineStr">
        <is>
          <t>Repair log per pipe identifier with cumulative count and area; QA disposition required above the specified limit.</t>
        </is>
      </c>
    </row>
    <row r="28" ht="42" customHeight="1" s="55">
      <c r="A28" s="137" t="inlineStr">
        <is>
          <t>C-6.3</t>
        </is>
      </c>
      <c r="B28" s="137" t="inlineStr">
        <is>
          <t>6</t>
        </is>
      </c>
      <c r="C28" s="130" t="inlineStr">
        <is>
          <t>Repair and release</t>
        </is>
      </c>
      <c r="D28" s="108" t="inlineStr">
        <is>
          <t>Repaired pipe released without holiday retest</t>
        </is>
      </c>
      <c r="E28" s="108" t="inlineStr">
        <is>
          <t>defect escapes to the customer</t>
        </is>
      </c>
      <c r="F28" s="107" t="n">
        <v>10</v>
      </c>
      <c r="G28" s="108" t="inlineStr">
        <is>
          <t>Step skipped under schedule pressure</t>
        </is>
      </c>
      <c r="H28" s="107" t="n">
        <v>3</v>
      </c>
      <c r="I28" s="108" t="inlineStr">
        <is>
          <t>Procedure and QA signature</t>
        </is>
      </c>
      <c r="J28" s="107" t="n">
        <v>6</v>
      </c>
      <c r="K28" s="98">
        <f>IF(COUNT(F28,H28,J28)=3,F28*H28*J28,"")</f>
        <v/>
      </c>
      <c r="L28" s="106">
        <f>IF(K28="","",IF(OR(F28&gt;=9,K28&gt;=100,AND(F28&gt;=7,J28&gt;=7)),"ACTION REQUIRED","Monitor"))</f>
        <v/>
      </c>
      <c r="M28" s="137" t="inlineStr">
        <is>
          <t>A-17</t>
        </is>
      </c>
      <c r="N28" s="130" t="inlineStr">
        <is>
          <t>2 Error-proof</t>
        </is>
      </c>
      <c r="O28" s="137" t="n">
        <v>10</v>
      </c>
      <c r="P28" s="137" t="n">
        <v>1</v>
      </c>
      <c r="Q28" s="137" t="n">
        <v>2</v>
      </c>
      <c r="R28" s="98">
        <f>IF(COUNT(O28,P28,Q28)=3,O28*P28*Q28,"")</f>
        <v/>
      </c>
      <c r="S28" s="109">
        <f>IF(AND(O28&lt;&gt;"",F28&lt;&gt;"",O28&lt;&gt;F28),"SEVERITY CHANGED","")</f>
        <v/>
      </c>
      <c r="T28" s="130" t="inlineStr">
        <is>
          <t>Release blocked in the system until a holiday retest result is recorded against the pipe identifier.</t>
        </is>
      </c>
    </row>
    <row r="29" ht="15" customHeight="1" s="55">
      <c r="A29" s="92" t="n"/>
      <c r="B29" s="92" t="n"/>
      <c r="C29" s="93" t="n"/>
      <c r="D29" s="93" t="n"/>
      <c r="E29" s="93" t="n"/>
      <c r="F29" s="92" t="n"/>
      <c r="G29" s="93" t="n"/>
      <c r="H29" s="92" t="n"/>
      <c r="I29" s="93" t="n"/>
      <c r="J29" s="92" t="n"/>
      <c r="K29" s="98">
        <f>IF(COUNT(F29,H29,J29)=3,F29*H29*J29,"")</f>
        <v/>
      </c>
      <c r="L29" s="106">
        <f>IF(K29="","",IF(OR(F29&gt;=9,K29&gt;=100,AND(F29&gt;=7,J29&gt;=7)),"ACTION REQUIRED","Monitor"))</f>
        <v/>
      </c>
      <c r="M29" s="107" t="n"/>
      <c r="N29" s="108" t="n"/>
      <c r="O29" s="107" t="n"/>
      <c r="P29" s="107" t="n"/>
      <c r="Q29" s="107" t="n"/>
      <c r="R29" s="98">
        <f>IF(COUNT(O29,P29,Q29)=3,O29*P29*Q29,"")</f>
        <v/>
      </c>
      <c r="S29" s="109">
        <f>IF(AND(O29&lt;&gt;"",F29&lt;&gt;"",O29&lt;&gt;F29),"SEVERITY CHANGED","")</f>
        <v/>
      </c>
    </row>
    <row r="30" ht="15" customHeight="1" s="55">
      <c r="A30" s="92" t="n"/>
      <c r="B30" s="92" t="n"/>
      <c r="C30" s="93" t="n"/>
      <c r="D30" s="93" t="n"/>
      <c r="E30" s="93" t="n"/>
      <c r="F30" s="92" t="n"/>
      <c r="G30" s="93" t="n"/>
      <c r="H30" s="92" t="n"/>
      <c r="I30" s="93" t="n"/>
      <c r="J30" s="92" t="n"/>
      <c r="K30" s="98">
        <f>IF(COUNT(F30,H30,J30)=3,F30*H30*J30,"")</f>
        <v/>
      </c>
      <c r="L30" s="106">
        <f>IF(K30="","",IF(OR(F30&gt;=9,K30&gt;=100,AND(F30&gt;=7,J30&gt;=7)),"ACTION REQUIRED","Monitor"))</f>
        <v/>
      </c>
      <c r="M30" s="107" t="n"/>
      <c r="N30" s="108" t="n"/>
      <c r="O30" s="107" t="n"/>
      <c r="P30" s="107" t="n"/>
      <c r="Q30" s="107" t="n"/>
      <c r="R30" s="98">
        <f>IF(COUNT(O30,P30,Q30)=3,O30*P30*Q30,"")</f>
        <v/>
      </c>
      <c r="S30" s="109">
        <f>IF(AND(O30&lt;&gt;"",F30&lt;&gt;"",O30&lt;&gt;F30),"SEVERITY CHANGED","")</f>
        <v/>
      </c>
    </row>
  </sheetData>
  <sheetProtection selectLockedCells="0" selectUnlockedCells="0" sheet="1" objects="0" insertRows="1" insertHyperlinks="1" autoFilter="1" scenarios="0" formatColumns="1" deleteColumns="1" insertColumns="1" pivotTables="1" deleteRows="1" formatCells="1" formatRows="1" sort="1"/>
  <autoFilter ref="A4:T30"/>
  <mergeCells count="8">
    <mergeCell ref="A25:S25"/>
    <mergeCell ref="A5:S5"/>
    <mergeCell ref="A13:S13"/>
    <mergeCell ref="A1:S1"/>
    <mergeCell ref="A17:S17"/>
    <mergeCell ref="A9:S9"/>
    <mergeCell ref="A21:S21"/>
    <mergeCell ref="A2:S2"/>
  </mergeCells>
  <conditionalFormatting sqref="L5:L30">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30">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30">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30">
    <cfRule type="expression" rank="0" priority="9" equalAverage="0" aboveAverage="0" dxfId="8" text="" percent="0" bottom="0">
      <formula>$S5&lt;&gt;""</formula>
    </cfRule>
  </conditionalFormatting>
  <conditionalFormatting sqref="N5:N30">
    <cfRule type="expression" rank="0" priority="10" equalAverage="0" aboveAverage="0" dxfId="9" text="" percent="0" bottom="0">
      <formula>LEFT($N5,1)="5"</formula>
    </cfRule>
  </conditionalFormatting>
  <dataValidations count="1">
    <dataValidation sqref="F5:F30 H5:H30 J5:J30 O5:Q30"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5.xml><?xml version="1.0" encoding="utf-8"?>
<worksheet xmlns="http://schemas.openxmlformats.org/spreadsheetml/2006/main">
  <sheetPr filterMode="0">
    <tabColor rgb="00C9CCD2"/>
    <outlinePr summaryBelow="1" summaryRight="1"/>
    <pageSetUpPr fitToPage="0"/>
  </sheetPr>
  <dimension ref="A1:T28"/>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C ASSEMBLY</t>
        </is>
      </c>
    </row>
    <row r="2" ht="15.75" customHeight="1" s="55">
      <c r="A2" s="87" t="inlineStr">
        <is>
          <t>Hydraulic cylinder assembly and pressure test—complete worked register from Part 2.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Steps 1–2—Receipt, kitting and cleanliness</t>
        </is>
      </c>
      <c r="T5" s="136" t="n"/>
    </row>
    <row r="6" ht="42" customHeight="1" s="55">
      <c r="A6" s="137" t="inlineStr">
        <is>
          <t>A-1.1</t>
        </is>
      </c>
      <c r="B6" s="137" t="inlineStr">
        <is>
          <t>1</t>
        </is>
      </c>
      <c r="C6" s="130" t="inlineStr">
        <is>
          <t>Receipt and kitting</t>
        </is>
      </c>
      <c r="D6" s="108" t="inlineStr">
        <is>
          <t>Wrong seal compound issued to the job</t>
        </is>
      </c>
      <c r="E6" s="108" t="inlineStr">
        <is>
          <t>seal degrades against the service fluid; loss of containment in service</t>
        </is>
      </c>
      <c r="F6" s="107" t="n">
        <v>9</v>
      </c>
      <c r="G6" s="108" t="inlineStr">
        <is>
          <t>Compounds packaged alike; kitting by description rather than part number</t>
        </is>
      </c>
      <c r="H6" s="107" t="n">
        <v>5</v>
      </c>
      <c r="I6" s="108" t="inlineStr">
        <is>
          <t>Visual check of the kit</t>
        </is>
      </c>
      <c r="J6" s="107" t="n">
        <v>7</v>
      </c>
      <c r="K6" s="98">
        <f>IF(COUNT(F6,H6,J6)=3,F6*H6*J6,"")</f>
        <v/>
      </c>
      <c r="L6" s="106">
        <f>IF(K6="","",IF(OR(F6&gt;=9,K6&gt;=100,AND(F6&gt;=7,J6&gt;=7)),"ACTION REQUIRED","Monitor"))</f>
        <v/>
      </c>
      <c r="M6" s="137" t="inlineStr">
        <is>
          <t>A-01</t>
        </is>
      </c>
      <c r="N6" s="130" t="inlineStr">
        <is>
          <t>2 Error-proof</t>
        </is>
      </c>
      <c r="O6" s="137" t="n">
        <v>9</v>
      </c>
      <c r="P6" s="137" t="n">
        <v>2</v>
      </c>
      <c r="Q6" s="137" t="n">
        <v>3</v>
      </c>
      <c r="R6" s="98">
        <f>IF(COUNT(O6,P6,Q6)=3,O6*P6*Q6,"")</f>
        <v/>
      </c>
      <c r="S6" s="109">
        <f>IF(AND(O6&lt;&gt;"",F6&lt;&gt;"",O6&lt;&gt;F6),"SEVERITY CHANGED","")</f>
        <v/>
      </c>
      <c r="T6" s="130" t="inlineStr">
        <is>
          <t>Kitting by part number with a scanned pick confirmation; compounds separated by color-coded bin and stored apart.</t>
        </is>
      </c>
    </row>
    <row r="7" ht="42" customHeight="1" s="55">
      <c r="A7" s="137" t="inlineStr">
        <is>
          <t>A-1.2</t>
        </is>
      </c>
      <c r="B7" s="137" t="inlineStr">
        <is>
          <t>1</t>
        </is>
      </c>
      <c r="C7" s="130" t="inlineStr">
        <is>
          <t>Receipt and kitting</t>
        </is>
      </c>
      <c r="D7" s="108" t="inlineStr">
        <is>
          <t>Seal used beyond shelf life</t>
        </is>
      </c>
      <c r="E7" s="108" t="inlineStr">
        <is>
          <t>hardening and leakage in service</t>
        </is>
      </c>
      <c r="F7" s="107" t="n">
        <v>8</v>
      </c>
      <c r="G7" s="108" t="inlineStr">
        <is>
          <t>No FIFO enforcement; cure date not visible at issue</t>
        </is>
      </c>
      <c r="H7" s="107" t="n">
        <v>5</v>
      </c>
      <c r="I7" s="108" t="inlineStr">
        <is>
          <t>Stores judgment</t>
        </is>
      </c>
      <c r="J7" s="107" t="n">
        <v>8</v>
      </c>
      <c r="K7" s="98">
        <f>IF(COUNT(F7,H7,J7)=3,F7*H7*J7,"")</f>
        <v/>
      </c>
      <c r="L7" s="106">
        <f>IF(K7="","",IF(OR(F7&gt;=9,K7&gt;=100,AND(F7&gt;=7,J7&gt;=7)),"ACTION REQUIRED","Monitor"))</f>
        <v/>
      </c>
      <c r="M7" s="137" t="inlineStr">
        <is>
          <t>A-02</t>
        </is>
      </c>
      <c r="N7" s="130" t="inlineStr">
        <is>
          <t>2 Error-proof</t>
        </is>
      </c>
      <c r="O7" s="137" t="n">
        <v>8</v>
      </c>
      <c r="P7" s="137" t="n">
        <v>1</v>
      </c>
      <c r="Q7" s="137" t="n">
        <v>3</v>
      </c>
      <c r="R7" s="98">
        <f>IF(COUNT(O7,P7,Q7)=3,O7*P7*Q7,"")</f>
        <v/>
      </c>
      <c r="S7" s="109">
        <f>IF(AND(O7&lt;&gt;"",F7&lt;&gt;"",O7&lt;&gt;F7),"SEVERITY CHANGED","")</f>
        <v/>
      </c>
      <c r="T7" s="130" t="inlineStr">
        <is>
          <t>Cure date printed on the issue label; FIFO enforced by the stores system, which blocks issue of expired stock.</t>
        </is>
      </c>
    </row>
    <row r="8" ht="42" customHeight="1" s="55">
      <c r="A8" s="137" t="inlineStr">
        <is>
          <t>A-2.1</t>
        </is>
      </c>
      <c r="B8" s="137" t="inlineStr">
        <is>
          <t>2</t>
        </is>
      </c>
      <c r="C8" s="130" t="inlineStr">
        <is>
          <t>Cleanliness</t>
        </is>
      </c>
      <c r="D8" s="108" t="inlineStr">
        <is>
          <t>Particulate contamination remaining in the tube bore</t>
        </is>
      </c>
      <c r="E8" s="108" t="inlineStr">
        <is>
          <t>seal scored on first stroke; internal leakage</t>
        </is>
      </c>
      <c r="F8" s="107" t="n">
        <v>8</v>
      </c>
      <c r="G8" s="108" t="inlineStr">
        <is>
          <t>Wash cycle never validated for the tube length; no cleanliness acceptance criterion</t>
        </is>
      </c>
      <c r="H8" s="107" t="n">
        <v>6</v>
      </c>
      <c r="I8" s="108" t="inlineStr">
        <is>
          <t>Visual</t>
        </is>
      </c>
      <c r="J8" s="107" t="n">
        <v>8</v>
      </c>
      <c r="K8" s="98">
        <f>IF(COUNT(F8,H8,J8)=3,F8*H8*J8,"")</f>
        <v/>
      </c>
      <c r="L8" s="106">
        <f>IF(K8="","",IF(OR(F8&gt;=9,K8&gt;=100,AND(F8&gt;=7,J8&gt;=7)),"ACTION REQUIRED","Monitor"))</f>
        <v/>
      </c>
      <c r="M8" s="137" t="inlineStr">
        <is>
          <t>A-03</t>
        </is>
      </c>
      <c r="N8" s="130" t="inlineStr">
        <is>
          <t>3 Automated control</t>
        </is>
      </c>
      <c r="O8" s="137" t="n">
        <v>8</v>
      </c>
      <c r="P8" s="137" t="n">
        <v>2</v>
      </c>
      <c r="Q8" s="137" t="n">
        <v>4</v>
      </c>
      <c r="R8" s="98">
        <f>IF(COUNT(O8,P8,Q8)=3,O8*P8*Q8,"")</f>
        <v/>
      </c>
      <c r="S8" s="109">
        <f>IF(AND(O8&lt;&gt;"",F8&lt;&gt;"",O8&lt;&gt;F8),"SEVERITY CHANGED","")</f>
        <v/>
      </c>
      <c r="T8" s="130" t="inlineStr">
        <is>
          <t>Wash cycle validated for full tube length; cleanliness acceptance criterion defined and verified by sampled particle count.</t>
        </is>
      </c>
    </row>
    <row r="9" ht="18" customHeight="1" s="55">
      <c r="A9" s="135" t="inlineStr">
        <is>
          <t>Steps 3–4—Seal fitting, piston assembly and torque</t>
        </is>
      </c>
      <c r="T9" s="136" t="n"/>
    </row>
    <row r="10" ht="42" customHeight="1" s="55">
      <c r="A10" s="137" t="inlineStr">
        <is>
          <t>A-3.1</t>
        </is>
      </c>
      <c r="B10" s="137" t="inlineStr">
        <is>
          <t>3</t>
        </is>
      </c>
      <c r="C10" s="130" t="inlineStr">
        <is>
          <t>Seal fitting</t>
        </is>
      </c>
      <c r="D10" s="108" t="inlineStr">
        <is>
          <t>Seal cut passing over a port or thread during fitting</t>
        </is>
      </c>
      <c r="E10" s="108" t="inlineStr">
        <is>
          <t>external leak</t>
        </is>
      </c>
      <c r="F10" s="107" t="n">
        <v>8</v>
      </c>
      <c r="G10" s="108" t="inlineStr">
        <is>
          <t>No fitting sleeve or thread protector; assembly by hand</t>
        </is>
      </c>
      <c r="H10" s="107" t="n">
        <v>6</v>
      </c>
      <c r="I10" s="108" t="inlineStr">
        <is>
          <t>Pressure test at step 8</t>
        </is>
      </c>
      <c r="J10" s="107" t="n">
        <v>4</v>
      </c>
      <c r="K10" s="98">
        <f>IF(COUNT(F10,H10,J10)=3,F10*H10*J10,"")</f>
        <v/>
      </c>
      <c r="L10" s="106">
        <f>IF(K10="","",IF(OR(F10&gt;=9,K10&gt;=100,AND(F10&gt;=7,J10&gt;=7)),"ACTION REQUIRED","Monitor"))</f>
        <v/>
      </c>
      <c r="M10" s="137" t="inlineStr">
        <is>
          <t>A-04</t>
        </is>
      </c>
      <c r="N10" s="130" t="inlineStr">
        <is>
          <t>2 Error-proof</t>
        </is>
      </c>
      <c r="O10" s="137" t="n">
        <v>8</v>
      </c>
      <c r="P10" s="137" t="n">
        <v>2</v>
      </c>
      <c r="Q10" s="137" t="n">
        <v>4</v>
      </c>
      <c r="R10" s="98">
        <f>IF(COUNT(O10,P10,Q10)=3,O10*P10*Q10,"")</f>
        <v/>
      </c>
      <c r="S10" s="109">
        <f>IF(AND(O10&lt;&gt;"",F10&lt;&gt;"",O10&lt;&gt;F10),"SEVERITY CHANGED","")</f>
        <v/>
      </c>
      <c r="T10" s="130" t="inlineStr">
        <is>
          <t>Fitting sleeve introduced as standard tooling; assembly cannot be performed without it.</t>
        </is>
      </c>
    </row>
    <row r="11" ht="42" customHeight="1" s="55">
      <c r="A11" s="137" t="inlineStr">
        <is>
          <t>A-3.2</t>
        </is>
      </c>
      <c r="B11" s="137" t="inlineStr">
        <is>
          <t>3</t>
        </is>
      </c>
      <c r="C11" s="130" t="inlineStr">
        <is>
          <t>Seal fitting</t>
        </is>
      </c>
      <c r="D11" s="108" t="inlineStr">
        <is>
          <t>Seal fitted inverted or in the wrong groove</t>
        </is>
      </c>
      <c r="E11" s="108" t="inlineStr">
        <is>
          <t>leakage or early failure</t>
        </is>
      </c>
      <c r="F11" s="107" t="n">
        <v>8</v>
      </c>
      <c r="G11" s="108" t="inlineStr">
        <is>
          <t>Similar groove geometry; text-only work instruction</t>
        </is>
      </c>
      <c r="H11" s="107" t="n">
        <v>4</v>
      </c>
      <c r="I11" s="108" t="inlineStr">
        <is>
          <t>Visual</t>
        </is>
      </c>
      <c r="J11" s="107" t="n">
        <v>6</v>
      </c>
      <c r="K11" s="98">
        <f>IF(COUNT(F11,H11,J11)=3,F11*H11*J11,"")</f>
        <v/>
      </c>
      <c r="L11" s="106">
        <f>IF(K11="","",IF(OR(F11&gt;=9,K11&gt;=100,AND(F11&gt;=7,J11&gt;=7)),"ACTION REQUIRED","Monitor"))</f>
        <v/>
      </c>
      <c r="M11" s="137" t="inlineStr">
        <is>
          <t>A-05</t>
        </is>
      </c>
      <c r="N11" s="130" t="inlineStr">
        <is>
          <t>5 Procedure</t>
        </is>
      </c>
      <c r="O11" s="137" t="n">
        <v>8</v>
      </c>
      <c r="P11" s="137" t="n">
        <v>3</v>
      </c>
      <c r="Q11" s="137" t="n">
        <v>4</v>
      </c>
      <c r="R11" s="98">
        <f>IF(COUNT(O11,P11,Q11)=3,O11*P11*Q11,"")</f>
        <v/>
      </c>
      <c r="S11" s="109">
        <f>IF(AND(O11&lt;&gt;"",F11&lt;&gt;"",O11&lt;&gt;F11),"SEVERITY CHANGED","")</f>
        <v/>
      </c>
      <c r="T11" s="130" t="inlineStr">
        <is>
          <t>Illustrated work instruction at the station showing seal orientation; first-build check by a second person.</t>
        </is>
      </c>
    </row>
    <row r="12" ht="42" customHeight="1" s="55">
      <c r="A12" s="137" t="inlineStr">
        <is>
          <t>A-4.1</t>
        </is>
      </c>
      <c r="B12" s="137" t="inlineStr">
        <is>
          <t>4</t>
        </is>
      </c>
      <c r="C12" s="130" t="inlineStr">
        <is>
          <t>Piston torque</t>
        </is>
      </c>
      <c r="D12" s="108" t="inlineStr">
        <is>
          <t>Piston nut torque below specification</t>
        </is>
      </c>
      <c r="E12" s="108" t="inlineStr">
        <is>
          <t>piston loosens in service; loss of function</t>
        </is>
      </c>
      <c r="F12" s="107" t="n">
        <v>9</v>
      </c>
      <c r="G12" s="108" t="inlineStr">
        <is>
          <t>Torque wrench not verified; value not displayed at the station</t>
        </is>
      </c>
      <c r="H12" s="107" t="n">
        <v>4</v>
      </c>
      <c r="I12" s="108" t="inlineStr">
        <is>
          <t>Operator</t>
        </is>
      </c>
      <c r="J12" s="107" t="n">
        <v>7</v>
      </c>
      <c r="K12" s="98">
        <f>IF(COUNT(F12,H12,J12)=3,F12*H12*J12,"")</f>
        <v/>
      </c>
      <c r="L12" s="106">
        <f>IF(K12="","",IF(OR(F12&gt;=9,K12&gt;=100,AND(F12&gt;=7,J12&gt;=7)),"ACTION REQUIRED","Monitor"))</f>
        <v/>
      </c>
      <c r="M12" s="137" t="inlineStr">
        <is>
          <t>A-06</t>
        </is>
      </c>
      <c r="N12" s="130" t="inlineStr">
        <is>
          <t>3 Automated control</t>
        </is>
      </c>
      <c r="O12" s="137" t="n">
        <v>9</v>
      </c>
      <c r="P12" s="137" t="n">
        <v>2</v>
      </c>
      <c r="Q12" s="137" t="n">
        <v>4</v>
      </c>
      <c r="R12" s="98">
        <f>IF(COUNT(O12,P12,Q12)=3,O12*P12*Q12,"")</f>
        <v/>
      </c>
      <c r="S12" s="109">
        <f>IF(AND(O12&lt;&gt;"",F12&lt;&gt;"",O12&lt;&gt;F12),"SEVERITY CHANGED","")</f>
        <v/>
      </c>
      <c r="T12" s="130" t="inlineStr">
        <is>
          <t>Torque wrench verified at shift start against a reference; torque value displayed at the station; value recorded per unit.</t>
        </is>
      </c>
    </row>
    <row r="13" ht="42" customHeight="1" s="55">
      <c r="A13" s="137" t="inlineStr">
        <is>
          <t>A-4.2</t>
        </is>
      </c>
      <c r="B13" s="137" t="inlineStr">
        <is>
          <t>4</t>
        </is>
      </c>
      <c r="C13" s="130" t="inlineStr">
        <is>
          <t>Piston torque</t>
        </is>
      </c>
      <c r="D13" s="108" t="inlineStr">
        <is>
          <t>Thread locking compound omitted</t>
        </is>
      </c>
      <c r="E13" s="108" t="inlineStr">
        <is>
          <t>nut backs off in service</t>
        </is>
      </c>
      <c r="F13" s="107" t="n">
        <v>9</v>
      </c>
      <c r="G13" s="108" t="inlineStr">
        <is>
          <t>Manual step leaving no evidence once assembled</t>
        </is>
      </c>
      <c r="H13" s="107" t="n">
        <v>4</v>
      </c>
      <c r="I13" s="108" t="inlineStr">
        <is>
          <t>None after assembly</t>
        </is>
      </c>
      <c r="J13" s="107" t="n">
        <v>9</v>
      </c>
      <c r="K13" s="98">
        <f>IF(COUNT(F13,H13,J13)=3,F13*H13*J13,"")</f>
        <v/>
      </c>
      <c r="L13" s="106">
        <f>IF(K13="","",IF(OR(F13&gt;=9,K13&gt;=100,AND(F13&gt;=7,J13&gt;=7)),"ACTION REQUIRED","Monitor"))</f>
        <v/>
      </c>
      <c r="M13" s="137" t="inlineStr">
        <is>
          <t>A-07</t>
        </is>
      </c>
      <c r="N13" s="130" t="inlineStr">
        <is>
          <t>1 Eliminate cause</t>
        </is>
      </c>
      <c r="O13" s="137" t="n">
        <v>9</v>
      </c>
      <c r="P13" s="137" t="n">
        <v>1</v>
      </c>
      <c r="Q13" s="137" t="n">
        <v>4</v>
      </c>
      <c r="R13" s="98">
        <f>IF(COUNT(O13,P13,Q13)=3,O13*P13*Q13,"")</f>
        <v/>
      </c>
      <c r="S13" s="109">
        <f>IF(AND(O13&lt;&gt;"",F13&lt;&gt;"",O13&lt;&gt;F13),"SEVERITY CHANGED","")</f>
        <v/>
      </c>
      <c r="T13" s="130" t="inlineStr">
        <is>
          <t>Pre-applied thread-locking patch on the nut, eliminating the manual step entirely.</t>
        </is>
      </c>
    </row>
    <row r="14" ht="18" customHeight="1" s="55">
      <c r="A14" s="135" t="inlineStr">
        <is>
          <t>Steps 5–7—Insertion, gland fitting, ports</t>
        </is>
      </c>
      <c r="T14" s="136" t="n"/>
    </row>
    <row r="15" ht="42" customHeight="1" s="55">
      <c r="A15" s="137" t="inlineStr">
        <is>
          <t>A-5.1</t>
        </is>
      </c>
      <c r="B15" s="137" t="inlineStr">
        <is>
          <t>5</t>
        </is>
      </c>
      <c r="C15" s="130" t="inlineStr">
        <is>
          <t>Insertion</t>
        </is>
      </c>
      <c r="D15" s="108" t="inlineStr">
        <is>
          <t>Rod or bore scored during insertion</t>
        </is>
      </c>
      <c r="E15" s="108" t="inlineStr">
        <is>
          <t>internal leakage and premature wear</t>
        </is>
      </c>
      <c r="F15" s="107" t="n">
        <v>7</v>
      </c>
      <c r="G15" s="108" t="inlineStr">
        <is>
          <t>Insertion by hand without a guide; misalignment</t>
        </is>
      </c>
      <c r="H15" s="107" t="n">
        <v>5</v>
      </c>
      <c r="I15" s="108" t="inlineStr">
        <is>
          <t>Function test</t>
        </is>
      </c>
      <c r="J15" s="107" t="n">
        <v>5</v>
      </c>
      <c r="K15" s="98">
        <f>IF(COUNT(F15,H15,J15)=3,F15*H15*J15,"")</f>
        <v/>
      </c>
      <c r="L15" s="106">
        <f>IF(K15="","",IF(OR(F15&gt;=9,K15&gt;=100,AND(F15&gt;=7,J15&gt;=7)),"ACTION REQUIRED","Monitor"))</f>
        <v/>
      </c>
      <c r="M15" s="137" t="inlineStr">
        <is>
          <t>A-08</t>
        </is>
      </c>
      <c r="N15" s="130" t="inlineStr">
        <is>
          <t>2 Error-proof</t>
        </is>
      </c>
      <c r="O15" s="137" t="n">
        <v>7</v>
      </c>
      <c r="P15" s="137" t="n">
        <v>2</v>
      </c>
      <c r="Q15" s="137" t="n">
        <v>5</v>
      </c>
      <c r="R15" s="98">
        <f>IF(COUNT(O15,P15,Q15)=3,O15*P15*Q15,"")</f>
        <v/>
      </c>
      <c r="S15" s="109">
        <f>IF(AND(O15&lt;&gt;"",F15&lt;&gt;"",O15&lt;&gt;F15),"SEVERITY CHANGED","")</f>
        <v/>
      </c>
      <c r="T15" s="130" t="inlineStr">
        <is>
          <t>Insertion guide added; alignment no longer dependent on hand control.</t>
        </is>
      </c>
    </row>
    <row r="16" ht="42" customHeight="1" s="55">
      <c r="A16" s="137" t="inlineStr">
        <is>
          <t>A-6.1</t>
        </is>
      </c>
      <c r="B16" s="137" t="inlineStr">
        <is>
          <t>6</t>
        </is>
      </c>
      <c r="C16" s="130" t="inlineStr">
        <is>
          <t>Gland fitting</t>
        </is>
      </c>
      <c r="D16" s="108" t="inlineStr">
        <is>
          <t>Gland bolts tightened out of sequence or under torque</t>
        </is>
      </c>
      <c r="E16" s="108" t="inlineStr">
        <is>
          <t>distortion and leak path</t>
        </is>
      </c>
      <c r="F16" s="107" t="n">
        <v>8</v>
      </c>
      <c r="G16" s="108" t="inlineStr">
        <is>
          <t>Sequence not specified; no torque record</t>
        </is>
      </c>
      <c r="H16" s="107" t="n">
        <v>5</v>
      </c>
      <c r="I16" s="108" t="inlineStr">
        <is>
          <t>Pressure test</t>
        </is>
      </c>
      <c r="J16" s="107" t="n">
        <v>5</v>
      </c>
      <c r="K16" s="98">
        <f>IF(COUNT(F16,H16,J16)=3,F16*H16*J16,"")</f>
        <v/>
      </c>
      <c r="L16" s="106">
        <f>IF(K16="","",IF(OR(F16&gt;=9,K16&gt;=100,AND(F16&gt;=7,J16&gt;=7)),"ACTION REQUIRED","Monitor"))</f>
        <v/>
      </c>
      <c r="M16" s="137" t="inlineStr">
        <is>
          <t>A-09</t>
        </is>
      </c>
      <c r="N16" s="130" t="inlineStr">
        <is>
          <t>4 Detection</t>
        </is>
      </c>
      <c r="O16" s="137" t="n">
        <v>8</v>
      </c>
      <c r="P16" s="137" t="n">
        <v>3</v>
      </c>
      <c r="Q16" s="137" t="n">
        <v>4</v>
      </c>
      <c r="R16" s="98">
        <f>IF(COUNT(O16,P16,Q16)=3,O16*P16*Q16,"")</f>
        <v/>
      </c>
      <c r="S16" s="109">
        <f>IF(AND(O16&lt;&gt;"",F16&lt;&gt;"",O16&lt;&gt;F16),"SEVERITY CHANGED","")</f>
        <v/>
      </c>
      <c r="T16" s="130" t="inlineStr">
        <is>
          <t>Tightening sequence specified on the instruction; torque recorded per unit against the serial number.</t>
        </is>
      </c>
    </row>
    <row r="17" ht="42" customHeight="1" s="55">
      <c r="A17" s="137" t="inlineStr">
        <is>
          <t>A-7.1</t>
        </is>
      </c>
      <c r="B17" s="137" t="inlineStr">
        <is>
          <t>7</t>
        </is>
      </c>
      <c r="C17" s="130" t="inlineStr">
        <is>
          <t>Ports</t>
        </is>
      </c>
      <c r="D17" s="108" t="inlineStr">
        <is>
          <t>Port fitting over-tightened</t>
        </is>
      </c>
      <c r="E17" s="108" t="inlineStr">
        <is>
          <t>thread damage or cracked boss</t>
        </is>
      </c>
      <c r="F17" s="107" t="n">
        <v>8</v>
      </c>
      <c r="G17" s="108" t="inlineStr">
        <is>
          <t>No torque value for fittings; fitted by feel</t>
        </is>
      </c>
      <c r="H17" s="107" t="n">
        <v>5</v>
      </c>
      <c r="I17" s="108" t="inlineStr">
        <is>
          <t>Pressure test</t>
        </is>
      </c>
      <c r="J17" s="107" t="n">
        <v>5</v>
      </c>
      <c r="K17" s="98">
        <f>IF(COUNT(F17,H17,J17)=3,F17*H17*J17,"")</f>
        <v/>
      </c>
      <c r="L17" s="106">
        <f>IF(K17="","",IF(OR(F17&gt;=9,K17&gt;=100,AND(F17&gt;=7,J17&gt;=7)),"ACTION REQUIRED","Monitor"))</f>
        <v/>
      </c>
      <c r="M17" s="137" t="inlineStr">
        <is>
          <t>A-10</t>
        </is>
      </c>
      <c r="N17" s="130" t="inlineStr">
        <is>
          <t>4 Detection</t>
        </is>
      </c>
      <c r="O17" s="137" t="n">
        <v>8</v>
      </c>
      <c r="P17" s="137" t="n">
        <v>3</v>
      </c>
      <c r="Q17" s="137" t="n">
        <v>4</v>
      </c>
      <c r="R17" s="98">
        <f>IF(COUNT(O17,P17,Q17)=3,O17*P17*Q17,"")</f>
        <v/>
      </c>
      <c r="S17" s="109">
        <f>IF(AND(O17&lt;&gt;"",F17&lt;&gt;"",O17&lt;&gt;F17),"SEVERITY CHANGED","")</f>
        <v/>
      </c>
      <c r="T17" s="130" t="inlineStr">
        <is>
          <t>Torque value specified for each fitting size; wrench issued to the station.</t>
        </is>
      </c>
    </row>
    <row r="18" ht="18" customHeight="1" s="55">
      <c r="A18" s="135" t="inlineStr">
        <is>
          <t>Step 8—Hydrostatic proof test</t>
        </is>
      </c>
      <c r="T18" s="136" t="n"/>
    </row>
    <row r="19" ht="42" customHeight="1" s="55">
      <c r="A19" s="137" t="inlineStr">
        <is>
          <t>A-8.1</t>
        </is>
      </c>
      <c r="B19" s="137" t="inlineStr">
        <is>
          <t>8</t>
        </is>
      </c>
      <c r="C19" s="130" t="inlineStr">
        <is>
          <t>Pressure test</t>
        </is>
      </c>
      <c r="D19" s="108" t="inlineStr">
        <is>
          <t>Test conducted below the specified test pressure</t>
        </is>
      </c>
      <c r="E19" s="108" t="inlineStr">
        <is>
          <t>a defective unit passes</t>
        </is>
      </c>
      <c r="F19" s="107" t="n">
        <v>10</v>
      </c>
      <c r="G19" s="108" t="inlineStr">
        <is>
          <t>Regulator setting; gauge selection; no recorded pressure trace</t>
        </is>
      </c>
      <c r="H19" s="107" t="n">
        <v>4</v>
      </c>
      <c r="I19" s="108" t="inlineStr">
        <is>
          <t>Operator reading a dial</t>
        </is>
      </c>
      <c r="J19" s="107" t="n">
        <v>8</v>
      </c>
      <c r="K19" s="98">
        <f>IF(COUNT(F19,H19,J19)=3,F19*H19*J19,"")</f>
        <v/>
      </c>
      <c r="L19" s="106">
        <f>IF(K19="","",IF(OR(F19&gt;=9,K19&gt;=100,AND(F19&gt;=7,J19&gt;=7)),"ACTION REQUIRED","Monitor"))</f>
        <v/>
      </c>
      <c r="M19" s="137" t="inlineStr">
        <is>
          <t>A-11</t>
        </is>
      </c>
      <c r="N19" s="130" t="inlineStr">
        <is>
          <t>3 Automated control</t>
        </is>
      </c>
      <c r="O19" s="137" t="n">
        <v>10</v>
      </c>
      <c r="P19" s="137" t="n">
        <v>2</v>
      </c>
      <c r="Q19" s="137" t="n">
        <v>2</v>
      </c>
      <c r="R19" s="98">
        <f>IF(COUNT(O19,P19,Q19)=3,O19*P19*Q19,"")</f>
        <v/>
      </c>
      <c r="S19" s="109">
        <f>IF(AND(O19&lt;&gt;"",F19&lt;&gt;"",O19&lt;&gt;F19),"SEVERITY CHANGED","")</f>
        <v/>
      </c>
      <c r="T19" s="130" t="inlineStr">
        <is>
          <t>Test rig fitted with a pressure transducer and chart recorder; pressure trace retained against the serial number. The dial is no longer the record.</t>
        </is>
      </c>
    </row>
    <row r="20" ht="42" customHeight="1" s="55">
      <c r="A20" s="137" t="inlineStr">
        <is>
          <t>A-8.2</t>
        </is>
      </c>
      <c r="B20" s="137" t="inlineStr">
        <is>
          <t>8</t>
        </is>
      </c>
      <c r="C20" s="130" t="inlineStr">
        <is>
          <t>Pressure test</t>
        </is>
      </c>
      <c r="D20" s="108" t="inlineStr">
        <is>
          <t>Pressure held for less than the specified duration</t>
        </is>
      </c>
      <c r="E20" s="108" t="inlineStr">
        <is>
          <t>slow leaks not revealed</t>
        </is>
      </c>
      <c r="F20" s="107" t="n">
        <v>10</v>
      </c>
      <c r="G20" s="108" t="inlineStr">
        <is>
          <t>Duration neither timed nor recorded; throughput pressure</t>
        </is>
      </c>
      <c r="H20" s="107" t="n">
        <v>5</v>
      </c>
      <c r="I20" s="108" t="inlineStr">
        <is>
          <t>Operator</t>
        </is>
      </c>
      <c r="J20" s="107" t="n">
        <v>8</v>
      </c>
      <c r="K20" s="98">
        <f>IF(COUNT(F20,H20,J20)=3,F20*H20*J20,"")</f>
        <v/>
      </c>
      <c r="L20" s="106">
        <f>IF(K20="","",IF(OR(F20&gt;=9,K20&gt;=100,AND(F20&gt;=7,J20&gt;=7)),"ACTION REQUIRED","Monitor"))</f>
        <v/>
      </c>
      <c r="M20" s="137" t="inlineStr">
        <is>
          <t>A-12</t>
        </is>
      </c>
      <c r="N20" s="130" t="inlineStr">
        <is>
          <t>2 Error-proof</t>
        </is>
      </c>
      <c r="O20" s="137" t="n">
        <v>10</v>
      </c>
      <c r="P20" s="137" t="n">
        <v>1</v>
      </c>
      <c r="Q20" s="137" t="n">
        <v>2</v>
      </c>
      <c r="R20" s="98">
        <f>IF(COUNT(O20,P20,Q20)=3,O20*P20*Q20,"")</f>
        <v/>
      </c>
      <c r="S20" s="109">
        <f>IF(AND(O20&lt;&gt;"",F20&lt;&gt;"",O20&lt;&gt;F20),"SEVERITY CHANGED","")</f>
        <v/>
      </c>
      <c r="T20" s="130" t="inlineStr">
        <is>
          <t>Hold duration timed automatically by the rig; the test cannot be marked complete before the timer expires.</t>
        </is>
      </c>
    </row>
    <row r="21" ht="42" customHeight="1" s="55">
      <c r="A21" s="137" t="inlineStr">
        <is>
          <t>A-8.3</t>
        </is>
      </c>
      <c r="B21" s="137" t="inlineStr">
        <is>
          <t>8</t>
        </is>
      </c>
      <c r="C21" s="130" t="inlineStr">
        <is>
          <t>Pressure test</t>
        </is>
      </c>
      <c r="D21" s="108" t="inlineStr">
        <is>
          <t>Test gauge out of calibration</t>
        </is>
      </c>
      <c r="E21" s="108" t="inlineStr">
        <is>
          <t>unit passes at a pressure below the true requirement</t>
        </is>
      </c>
      <c r="F21" s="107" t="n">
        <v>10</v>
      </c>
      <c r="G21" s="108" t="inlineStr">
        <is>
          <t>Annual calibration only; no verification against a reference</t>
        </is>
      </c>
      <c r="H21" s="107" t="n">
        <v>3</v>
      </c>
      <c r="I21" s="108" t="inlineStr">
        <is>
          <t>Calibration label</t>
        </is>
      </c>
      <c r="J21" s="107" t="n">
        <v>8</v>
      </c>
      <c r="K21" s="98">
        <f>IF(COUNT(F21,H21,J21)=3,F21*H21*J21,"")</f>
        <v/>
      </c>
      <c r="L21" s="106">
        <f>IF(K21="","",IF(OR(F21&gt;=9,K21&gt;=100,AND(F21&gt;=7,J21&gt;=7)),"ACTION REQUIRED","Monitor"))</f>
        <v/>
      </c>
      <c r="M21" s="137" t="inlineStr">
        <is>
          <t>A-13</t>
        </is>
      </c>
      <c r="N21" s="130" t="inlineStr">
        <is>
          <t>2 Error-proof</t>
        </is>
      </c>
      <c r="O21" s="137" t="n">
        <v>10</v>
      </c>
      <c r="P21" s="137" t="n">
        <v>2</v>
      </c>
      <c r="Q21" s="137" t="n">
        <v>2</v>
      </c>
      <c r="R21" s="98">
        <f>IF(COUNT(O21,P21,Q21)=3,O21*P21*Q21,"")</f>
        <v/>
      </c>
      <c r="S21" s="109">
        <f>IF(AND(O21&lt;&gt;"",F21&lt;&gt;"",O21&lt;&gt;F21),"SEVERITY CHANGED","")</f>
        <v/>
      </c>
      <c r="T21" s="130" t="inlineStr">
        <is>
          <t>Rig transducer verified daily against a reference gauge; verification recorded and the rig locked out on failure.</t>
        </is>
      </c>
    </row>
    <row r="22" ht="42" customHeight="1" s="55">
      <c r="A22" s="137" t="inlineStr">
        <is>
          <t>A-8.4</t>
        </is>
      </c>
      <c r="B22" s="137" t="inlineStr">
        <is>
          <t>8</t>
        </is>
      </c>
      <c r="C22" s="130" t="inlineStr">
        <is>
          <t>Pressure test</t>
        </is>
      </c>
      <c r="D22" s="108" t="inlineStr">
        <is>
          <t>Air entrained in the test circuit</t>
        </is>
      </c>
      <c r="E22" s="108" t="inlineStr">
        <is>
          <t>pressure decay masked or falsely indicated</t>
        </is>
      </c>
      <c r="F22" s="107" t="n">
        <v>9</v>
      </c>
      <c r="G22" s="108" t="inlineStr">
        <is>
          <t>No bleed step defined; test orientation not specified</t>
        </is>
      </c>
      <c r="H22" s="107" t="n">
        <v>5</v>
      </c>
      <c r="I22" s="108" t="inlineStr">
        <is>
          <t>Operator</t>
        </is>
      </c>
      <c r="J22" s="107" t="n">
        <v>7</v>
      </c>
      <c r="K22" s="98">
        <f>IF(COUNT(F22,H22,J22)=3,F22*H22*J22,"")</f>
        <v/>
      </c>
      <c r="L22" s="106">
        <f>IF(K22="","",IF(OR(F22&gt;=9,K22&gt;=100,AND(F22&gt;=7,J22&gt;=7)),"ACTION REQUIRED","Monitor"))</f>
        <v/>
      </c>
      <c r="M22" s="137" t="inlineStr">
        <is>
          <t>A-14</t>
        </is>
      </c>
      <c r="N22" s="130" t="inlineStr">
        <is>
          <t>5 Procedure</t>
        </is>
      </c>
      <c r="O22" s="137" t="n">
        <v>9</v>
      </c>
      <c r="P22" s="137" t="n">
        <v>3</v>
      </c>
      <c r="Q22" s="137" t="n">
        <v>5</v>
      </c>
      <c r="R22" s="98">
        <f>IF(COUNT(O22,P22,Q22)=3,O22*P22*Q22,"")</f>
        <v/>
      </c>
      <c r="S22" s="109">
        <f>IF(AND(O22&lt;&gt;"",F22&lt;&gt;"",O22&lt;&gt;F22),"SEVERITY CHANGED","")</f>
        <v/>
      </c>
      <c r="T22" s="130" t="inlineStr">
        <is>
          <t>Bleed step added to the test instruction with a defined orientation; bleed confirmed before pressurization.</t>
        </is>
      </c>
    </row>
    <row r="23" ht="42" customHeight="1" s="55">
      <c r="A23" s="137" t="inlineStr">
        <is>
          <t>A-8.5</t>
        </is>
      </c>
      <c r="B23" s="137" t="inlineStr">
        <is>
          <t>8</t>
        </is>
      </c>
      <c r="C23" s="130" t="inlineStr">
        <is>
          <t>Pressure test</t>
        </is>
      </c>
      <c r="D23" s="108" t="inlineStr">
        <is>
          <t>Test performed before thread sealant cure</t>
        </is>
      </c>
      <c r="E23" s="108" t="inlineStr">
        <is>
          <t>unit passes and leaks in service</t>
        </is>
      </c>
      <c r="F23" s="107" t="n">
        <v>10</v>
      </c>
      <c r="G23" s="108" t="inlineStr">
        <is>
          <t>Cure time not specified; unit tested as soon as it reaches the rig</t>
        </is>
      </c>
      <c r="H23" s="107" t="n">
        <v>4</v>
      </c>
      <c r="I23" s="108" t="inlineStr">
        <is>
          <t>None</t>
        </is>
      </c>
      <c r="J23" s="107" t="n">
        <v>9</v>
      </c>
      <c r="K23" s="98">
        <f>IF(COUNT(F23,H23,J23)=3,F23*H23*J23,"")</f>
        <v/>
      </c>
      <c r="L23" s="106">
        <f>IF(K23="","",IF(OR(F23&gt;=9,K23&gt;=100,AND(F23&gt;=7,J23&gt;=7)),"ACTION REQUIRED","Monitor"))</f>
        <v/>
      </c>
      <c r="M23" s="137" t="inlineStr">
        <is>
          <t>A-15</t>
        </is>
      </c>
      <c r="N23" s="130" t="inlineStr">
        <is>
          <t>2 Error-proof</t>
        </is>
      </c>
      <c r="O23" s="137" t="n">
        <v>10</v>
      </c>
      <c r="P23" s="137" t="n">
        <v>2</v>
      </c>
      <c r="Q23" s="137" t="n">
        <v>3</v>
      </c>
      <c r="R23" s="98">
        <f>IF(COUNT(O23,P23,Q23)=3,O23*P23*Q23,"")</f>
        <v/>
      </c>
      <c r="S23" s="109">
        <f>IF(AND(O23&lt;&gt;"",F23&lt;&gt;"",O23&lt;&gt;F23),"SEVERITY CHANGED","")</f>
        <v/>
      </c>
      <c r="T23" s="130" t="inlineStr">
        <is>
          <t>Minimum cure time enforced by the build sequence; units cannot enter the test queue before it elapses.</t>
        </is>
      </c>
    </row>
    <row r="24" ht="18" customHeight="1" s="55">
      <c r="A24" s="135" t="inlineStr">
        <is>
          <t>Steps 9–12—Function test, identification, dispatch</t>
        </is>
      </c>
      <c r="T24" s="136" t="n"/>
    </row>
    <row r="25" ht="42" customHeight="1" s="55">
      <c r="A25" s="137" t="inlineStr">
        <is>
          <t>A-9.1</t>
        </is>
      </c>
      <c r="B25" s="137" t="inlineStr">
        <is>
          <t>9</t>
        </is>
      </c>
      <c r="C25" s="130" t="inlineStr">
        <is>
          <t>Function test</t>
        </is>
      </c>
      <c r="D25" s="108" t="inlineStr">
        <is>
          <t>Function test not taken to full stroke in both directions</t>
        </is>
      </c>
      <c r="E25" s="108" t="inlineStr">
        <is>
          <t>end-of-stroke defects not revealed</t>
        </is>
      </c>
      <c r="F25" s="107" t="n">
        <v>8</v>
      </c>
      <c r="G25" s="108" t="inlineStr">
        <is>
          <t>Rig stroke shorter than the product; no written acceptance criterion</t>
        </is>
      </c>
      <c r="H25" s="107" t="n">
        <v>4</v>
      </c>
      <c r="I25" s="108" t="inlineStr">
        <is>
          <t>Operator</t>
        </is>
      </c>
      <c r="J25" s="107" t="n">
        <v>8</v>
      </c>
      <c r="K25" s="98">
        <f>IF(COUNT(F25,H25,J25)=3,F25*H25*J25,"")</f>
        <v/>
      </c>
      <c r="L25" s="106">
        <f>IF(K25="","",IF(OR(F25&gt;=9,K25&gt;=100,AND(F25&gt;=7,J25&gt;=7)),"ACTION REQUIRED","Monitor"))</f>
        <v/>
      </c>
      <c r="M25" s="137" t="inlineStr">
        <is>
          <t>A-16</t>
        </is>
      </c>
      <c r="N25" s="130" t="inlineStr">
        <is>
          <t>3 Automated control</t>
        </is>
      </c>
      <c r="O25" s="137" t="n">
        <v>8</v>
      </c>
      <c r="P25" s="137" t="n">
        <v>2</v>
      </c>
      <c r="Q25" s="137" t="n">
        <v>4</v>
      </c>
      <c r="R25" s="98">
        <f>IF(COUNT(O25,P25,Q25)=3,O25*P25*Q25,"")</f>
        <v/>
      </c>
      <c r="S25" s="109">
        <f>IF(AND(O25&lt;&gt;"",F25&lt;&gt;"",O25&lt;&gt;F25),"SEVERITY CHANGED","")</f>
        <v/>
      </c>
      <c r="T25" s="130" t="inlineStr">
        <is>
          <t>Rig modified to accept full product stroke; written acceptance criterion for both directions; result recorded.</t>
        </is>
      </c>
    </row>
    <row r="26" ht="42" customHeight="1" s="55">
      <c r="A26" s="137" t="inlineStr">
        <is>
          <t>A-11.1</t>
        </is>
      </c>
      <c r="B26" s="137" t="inlineStr">
        <is>
          <t>11</t>
        </is>
      </c>
      <c r="C26" s="130" t="inlineStr">
        <is>
          <t>Identification</t>
        </is>
      </c>
      <c r="D26" s="108" t="inlineStr">
        <is>
          <t>Wrong stroke length or port configuration shipped</t>
        </is>
      </c>
      <c r="E26" s="108" t="inlineStr">
        <is>
          <t>does not fit the customer’s application</t>
        </is>
      </c>
      <c r="F26" s="107" t="n">
        <v>8</v>
      </c>
      <c r="G26" s="108" t="inlineStr">
        <is>
          <t>Similar variants built on one line; identification applied last</t>
        </is>
      </c>
      <c r="H26" s="107" t="n">
        <v>3</v>
      </c>
      <c r="I26" s="108" t="inlineStr">
        <is>
          <t>Final inspection</t>
        </is>
      </c>
      <c r="J26" s="107" t="n">
        <v>5</v>
      </c>
      <c r="K26" s="98">
        <f>IF(COUNT(F26,H26,J26)=3,F26*H26*J26,"")</f>
        <v/>
      </c>
      <c r="L26" s="106">
        <f>IF(K26="","",IF(OR(F26&gt;=9,K26&gt;=100,AND(F26&gt;=7,J26&gt;=7)),"ACTION REQUIRED","Monitor"))</f>
        <v/>
      </c>
      <c r="M26" s="137" t="inlineStr">
        <is>
          <t>A-17</t>
        </is>
      </c>
      <c r="N26" s="130" t="inlineStr">
        <is>
          <t>2 Error-proof</t>
        </is>
      </c>
      <c r="O26" s="137" t="n">
        <v>8</v>
      </c>
      <c r="P26" s="137" t="n">
        <v>2</v>
      </c>
      <c r="Q26" s="137" t="n">
        <v>3</v>
      </c>
      <c r="R26" s="98">
        <f>IF(COUNT(O26,P26,Q26)=3,O26*P26*Q26,"")</f>
        <v/>
      </c>
      <c r="S26" s="109">
        <f>IF(AND(O26&lt;&gt;"",F26&lt;&gt;"",O26&lt;&gt;F26),"SEVERITY CHANGED","")</f>
        <v/>
      </c>
      <c r="T26" s="130" t="inlineStr">
        <is>
          <t>Serial number applied at first build rather than at dispatch and scanned at every subsequent station.</t>
        </is>
      </c>
    </row>
    <row r="27" ht="15" customHeight="1" s="55">
      <c r="A27" s="92" t="n"/>
      <c r="B27" s="92" t="n"/>
      <c r="C27" s="93" t="n"/>
      <c r="D27" s="93" t="n"/>
      <c r="E27" s="93" t="n"/>
      <c r="F27" s="92" t="n"/>
      <c r="G27" s="93" t="n"/>
      <c r="H27" s="92" t="n"/>
      <c r="I27" s="93" t="n"/>
      <c r="J27" s="92" t="n"/>
      <c r="K27" s="98">
        <f>IF(COUNT(F27,H27,J27)=3,F27*H27*J27,"")</f>
        <v/>
      </c>
      <c r="L27" s="106">
        <f>IF(K27="","",IF(OR(F27&gt;=9,K27&gt;=100,AND(F27&gt;=7,J27&gt;=7)),"ACTION REQUIRED","Monitor"))</f>
        <v/>
      </c>
      <c r="M27" s="107" t="n"/>
      <c r="N27" s="108" t="n"/>
      <c r="O27" s="107" t="n"/>
      <c r="P27" s="107" t="n"/>
      <c r="Q27" s="107" t="n"/>
      <c r="R27" s="98">
        <f>IF(COUNT(O27,P27,Q27)=3,O27*P27*Q27,"")</f>
        <v/>
      </c>
      <c r="S27" s="109">
        <f>IF(AND(O27&lt;&gt;"",F27&lt;&gt;"",O27&lt;&gt;F27),"SEVERITY CHANGED","")</f>
        <v/>
      </c>
    </row>
    <row r="28" ht="15" customHeight="1" s="55">
      <c r="A28" s="92" t="n"/>
      <c r="B28" s="92" t="n"/>
      <c r="C28" s="93" t="n"/>
      <c r="D28" s="93" t="n"/>
      <c r="E28" s="93" t="n"/>
      <c r="F28" s="92" t="n"/>
      <c r="G28" s="93" t="n"/>
      <c r="H28" s="92" t="n"/>
      <c r="I28" s="93" t="n"/>
      <c r="J28" s="92" t="n"/>
      <c r="K28" s="98">
        <f>IF(COUNT(F28,H28,J28)=3,F28*H28*J28,"")</f>
        <v/>
      </c>
      <c r="L28" s="106">
        <f>IF(K28="","",IF(OR(F28&gt;=9,K28&gt;=100,AND(F28&gt;=7,J28&gt;=7)),"ACTION REQUIRED","Monitor"))</f>
        <v/>
      </c>
      <c r="M28" s="107" t="n"/>
      <c r="N28" s="108" t="n"/>
      <c r="O28" s="107" t="n"/>
      <c r="P28" s="107" t="n"/>
      <c r="Q28" s="107" t="n"/>
      <c r="R28" s="98">
        <f>IF(COUNT(O28,P28,Q28)=3,O28*P28*Q28,"")</f>
        <v/>
      </c>
      <c r="S28" s="109">
        <f>IF(AND(O28&lt;&gt;"",F28&lt;&gt;"",O28&lt;&gt;F28),"SEVERITY CHANGED","")</f>
        <v/>
      </c>
    </row>
  </sheetData>
  <sheetProtection selectLockedCells="0" selectUnlockedCells="0" sheet="1" objects="0" insertRows="1" insertHyperlinks="1" autoFilter="1" scenarios="0" formatColumns="1" deleteColumns="1" insertColumns="1" pivotTables="1" deleteRows="1" formatCells="1" formatRows="1" sort="1"/>
  <autoFilter ref="A4:T28"/>
  <mergeCells count="7">
    <mergeCell ref="A5:S5"/>
    <mergeCell ref="A14:S14"/>
    <mergeCell ref="A1:S1"/>
    <mergeCell ref="A9:S9"/>
    <mergeCell ref="A18:S18"/>
    <mergeCell ref="A24:S24"/>
    <mergeCell ref="A2:S2"/>
  </mergeCells>
  <conditionalFormatting sqref="L5:L28">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28">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28">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28">
    <cfRule type="expression" rank="0" priority="9" equalAverage="0" aboveAverage="0" dxfId="8" text="" percent="0" bottom="0">
      <formula>$S5&lt;&gt;""</formula>
    </cfRule>
  </conditionalFormatting>
  <conditionalFormatting sqref="N5:N28">
    <cfRule type="expression" rank="0" priority="10" equalAverage="0" aboveAverage="0" dxfId="9" text="" percent="0" bottom="0">
      <formula>LEFT($N5,1)="5"</formula>
    </cfRule>
  </conditionalFormatting>
  <dataValidations count="1">
    <dataValidation sqref="F5:F28 H5:H28 J5:J28 O5:Q28"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Book One&amp;C&amp;8 Page &amp;P of &amp;N&amp;R&amp;8 &amp;D</oddFooter>
    <evenHeader/>
    <evenFooter/>
    <firstHeader/>
    <firstFooter/>
  </headerFooter>
</worksheet>
</file>

<file path=xl/worksheets/sheet16.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5" min="1" max="1"/>
    <col width="100" customWidth="1" style="85" min="2" max="2"/>
  </cols>
  <sheetData>
    <row r="1"/>
    <row r="2"/>
    <row r="3"/>
    <row r="4"/>
    <row r="5"/>
    <row r="6" ht="17.35" customHeight="1" s="55">
      <c r="B6" s="138" t="inlineStr">
        <is>
          <t>THE NORWOOD FILES</t>
        </is>
      </c>
    </row>
    <row r="7" ht="15" customHeight="1" s="55">
      <c r="B7" s="139" t="inlineStr">
        <is>
          <t>Companion to Book One</t>
        </is>
      </c>
    </row>
    <row r="8"/>
    <row r="9" ht="15" customHeight="1" s="55">
      <c r="B9" s="140" t="inlineStr">
        <is>
          <t>Document code: NF-CW1 · Identity: NBSM v1.0 · Baseline: EBL-3.1 · Issued 22 August 2026</t>
        </is>
      </c>
    </row>
    <row r="10"/>
    <row r="11" ht="23.85" customHeight="1" s="55">
      <c r="B11" s="141" t="inlineStr">
        <is>
          <t>This workbook is part of The Norwood Files ecosystem — business novels and working instruments for the people who run quality in manufacturing, written for ISO 9001 and current to the 2026 edition.</t>
        </is>
      </c>
    </row>
    <row r="12"/>
    <row r="13" ht="23.85" customHeight="1" s="55">
      <c r="B13" s="141" t="inlineStr">
        <is>
          <t>The Register Mark — one line, one red square: the process, and the record found in it. In every Norwood chart and register, red means exactly one thing: the finding.</t>
        </is>
      </c>
    </row>
    <row r="14"/>
    <row r="15" ht="15" customHeight="1" s="55">
      <c r="B15" s="141" t="inlineStr">
        <is>
          <t>Cell conventions: blue text = your inputs · black = calculated · yellow fill = attention · red ■ = fired trigger/finding.</t>
        </is>
      </c>
    </row>
    <row r="16"/>
    <row r="17" ht="15" customHeight="1" s="55">
      <c r="B17" s="142"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■&amp;RNF-CW1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Book One</dc:title>
  <dc:description xmlns:dc="http://purl.org/dc/elements/1.1/">Companion to The Row That Wasn’t There. Current to the 2026 edition of ISO 9001.</dc:description>
  <dc:subject xmlns:dc="http://purl.org/dc/elements/1.1/">Official Companion Workbook · NF-CW1 · v1.0</dc:subject>
  <dc:language xmlns:dc="http://purl.org/dc/elements/1.1/">en-US</dc:language>
  <dcterms:created xmlns:dcterms="http://purl.org/dc/terms/" xmlns:xsi="http://www.w3.org/2001/XMLSchema-instance" xsi:type="dcterms:W3CDTF">2026-08-09T17:05:48Z</dcterms:created>
  <dcterms:modified xmlns:dcterms="http://purl.org/dc/terms/" xmlns:xsi="http://www.w3.org/2001/XMLSchema-instance" xsi:type="dcterms:W3CDTF">2026-08-22T08:27:03Z</dcterms:modified>
  <cp:lastModifiedBy>Dan Bleigh</cp:lastModifiedBy>
  <cp:category>Official Companion Workbook</cp:category>
  <cp:revision>5</cp:revision>
  <cp:keywords>The Norwood Files; Companion Workbook; ISO 9001; quality management</cp:keywords>
</cp:coreProperties>
</file>