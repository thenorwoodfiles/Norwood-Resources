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WELCOME" sheetId="2" state="visible" r:id="rId2"/>
    <sheet xmlns:r="http://schemas.openxmlformats.org/officeDocument/2006/relationships" name="LICENCE" sheetId="3" state="visible" r:id="rId3"/>
    <sheet xmlns:r="http://schemas.openxmlformats.org/officeDocument/2006/relationships" name="START HERE" sheetId="4" state="visible" r:id="rId4"/>
    <sheet xmlns:r="http://schemas.openxmlformats.org/officeDocument/2006/relationships" name="Form 17 Supplier Ranking" sheetId="5" state="visible" r:id="rId5"/>
    <sheet xmlns:r="http://schemas.openxmlformats.org/officeDocument/2006/relationships" name="Form 18 Assessment" sheetId="6" state="visible" r:id="rId6"/>
    <sheet xmlns:r="http://schemas.openxmlformats.org/officeDocument/2006/relationships" name="Form 19 Knowledge Inventory" sheetId="7" state="visible" r:id="rId7"/>
    <sheet xmlns:r="http://schemas.openxmlformats.org/officeDocument/2006/relationships" name="Form 20 Transfer Tracker" sheetId="8" state="visible" r:id="rId8"/>
    <sheet xmlns:r="http://schemas.openxmlformats.org/officeDocument/2006/relationships" name="Form 21 Transition" sheetId="9" state="visible" r:id="rId9"/>
    <sheet xmlns:r="http://schemas.openxmlformats.org/officeDocument/2006/relationships" name="Dashboard" sheetId="10" state="visible" r:id="rId10"/>
    <sheet xmlns:r="http://schemas.openxmlformats.org/officeDocument/2006/relationships" name="EXAMPLE A Single-source foundry" sheetId="11" state="visible" r:id="rId11"/>
    <sheet xmlns:r="http://schemas.openxmlformats.org/officeDocument/2006/relationships" name="EXAMPLE B Distributor" sheetId="12" state="visible" r:id="rId12"/>
    <sheet xmlns:r="http://schemas.openxmlformats.org/officeDocument/2006/relationships" name="EXAMPLE C Calibration house" sheetId="13" state="visible" r:id="rId13"/>
    <sheet xmlns:r="http://schemas.openxmlformats.org/officeDocument/2006/relationships" name="About" sheetId="14" state="visible" r:id="rId14"/>
  </sheets>
  <definedNames>
    <definedName name="_xlnm.Print_Area" localSheetId="0">'Cover'!$A$1:$I$31</definedName>
    <definedName name="_xlnm.Print_Area" localSheetId="1">'WELCOME'!$A$1:$I$70</definedName>
    <definedName name="_xlnm.Print_Area" localSheetId="2">'LICENCE'!$A$1:$I$48</definedName>
    <definedName name="_xlnm._FilterDatabase" localSheetId="4" hidden="1">'Form 17 Supplier Ranking'!$A$4:$H$64</definedName>
    <definedName name="_xlnm._FilterDatabase" localSheetId="5" hidden="1">'Form 18 Assessment'!$A$4:$I$64</definedName>
    <definedName name="_xlnm._FilterDatabase" localSheetId="6" hidden="1">'Form 19 Knowledge Inventory'!$A$4:$G$204</definedName>
    <definedName name="_xlnm._FilterDatabase" localSheetId="7" hidden="1">'Form 20 Transfer Tracker'!$A$4:$K$64</definedName>
    <definedName name="_xlnm._FilterDatabase" localSheetId="8" hidden="1">'Form 21 Transition'!$A$4:$G$44</definedName>
    <definedName name="_xlnm.Print_Area" localSheetId="9">'Dashboard'!$A$1:$J$44</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0\%"/>
  </numFmts>
  <fonts count="4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9"/>
    </font>
    <font>
      <name val="Arial"/>
      <charset val="1"/>
      <family val="0"/>
      <b val="1"/>
      <color rgb="FF1F3864"/>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0000CC"/>
      <sz val="10"/>
    </font>
    <font>
      <name val="Arial"/>
      <charset val="1"/>
      <family val="0"/>
      <b val="1"/>
      <color rgb="FF9C0006"/>
      <sz val="9"/>
    </font>
    <font>
      <name val="Arial"/>
      <charset val="1"/>
      <family val="0"/>
      <b val="1"/>
      <color rgb="FFFFFFFF"/>
      <sz val="8.5"/>
    </font>
    <font>
      <name val="Arial"/>
      <charset val="1"/>
      <family val="0"/>
      <b val="1"/>
      <sz val="10"/>
    </font>
    <font>
      <name val="Arial"/>
      <charset val="1"/>
      <family val="0"/>
      <b val="1"/>
      <color rgb="FF1F3864"/>
      <sz val="22"/>
    </font>
    <font>
      <name val="Arial"/>
      <charset val="1"/>
      <family val="0"/>
      <color rgb="FF6A6A6A"/>
      <sz val="8"/>
    </font>
    <font>
      <name val="Arial"/>
      <charset val="1"/>
      <family val="0"/>
      <b val="1"/>
      <color rgb="FF1F3864"/>
      <sz val="9"/>
    </font>
    <font>
      <name val="Arial"/>
      <charset val="1"/>
      <family val="0"/>
      <sz val="9"/>
    </font>
    <font>
      <name val="Calibri"/>
      <family val="2"/>
      <b val="1"/>
      <color rgb="FF000000"/>
      <sz val="18"/>
    </font>
    <font>
      <name val="Calibri"/>
      <family val="2"/>
      <color rgb="FF000000"/>
      <sz val="10"/>
    </font>
    <font>
      <name val="Arial"/>
      <charset val="1"/>
      <family val="0"/>
      <b val="1"/>
      <color rgb="FF15161A"/>
      <sz val="14"/>
    </font>
    <font>
      <name val="Arial"/>
      <charset val="1"/>
      <family val="0"/>
      <b val="1"/>
      <color rgb="FF15161A"/>
      <sz val="12"/>
    </font>
    <font>
      <name val="Arial"/>
      <charset val="1"/>
      <family val="0"/>
      <color rgb="FF444444"/>
      <sz val="10"/>
    </font>
    <font>
      <name val="Arial"/>
      <charset val="1"/>
      <family val="0"/>
      <color rgb="FF333333"/>
      <sz val="10"/>
    </font>
    <font>
      <name val="Arial"/>
      <charset val="1"/>
      <family val="0"/>
      <color rgb="FF777777"/>
      <sz val="9"/>
    </font>
    <font>
      <name val="Arial"/>
      <b val="1"/>
      <color rgb="FF15161A"/>
      <sz val="11"/>
    </font>
    <font>
      <name val="Arial"/>
      <color rgb="FF6E7178"/>
      <sz val="9"/>
    </font>
    <font>
      <name val="Arial"/>
      <b val="1"/>
      <color rgb="FFCD232F"/>
      <sz val="10"/>
    </font>
    <font>
      <name val="Arial"/>
      <b val="1"/>
      <color rgb="FF15161A"/>
      <sz val="30"/>
    </font>
    <font>
      <name val="Arial"/>
      <color rgb="FF6E7178"/>
      <sz val="11"/>
    </font>
    <font>
      <name val="Arial"/>
      <b val="1"/>
      <color rgb="FF15161A"/>
      <sz val="16"/>
    </font>
    <font>
      <name val="Arial"/>
      <color rgb="FF6E7178"/>
      <sz val="10"/>
    </font>
    <font>
      <name val="Arial"/>
      <b val="1"/>
      <color rgb="FF6E7178"/>
      <sz val="8"/>
    </font>
    <font>
      <name val="Arial"/>
      <color rgb="FF15161A"/>
      <sz val="10"/>
    </font>
    <font>
      <name val="Arial"/>
      <b val="1"/>
      <color rgb="FF15161A"/>
      <sz val="13"/>
    </font>
    <font>
      <name val="Arial"/>
      <b val="1"/>
      <color rgb="FF15161A"/>
      <sz val="20"/>
    </font>
    <font>
      <name val="Arial"/>
      <b val="1"/>
      <color rgb="FFCD232F"/>
      <sz val="9"/>
    </font>
    <font>
      <name val="Arial"/>
      <b val="1"/>
      <color rgb="FF5B7A99"/>
      <sz val="10"/>
    </font>
    <font>
      <name val="Arial"/>
      <b val="1"/>
      <color rgb="FFF0EDE6"/>
      <sz val="9"/>
    </font>
    <font>
      <name val="Arial"/>
      <b val="1"/>
      <color rgb="FF15161A"/>
      <sz val="9"/>
    </font>
    <font>
      <name val="Arial"/>
      <color rgb="FF3A3D44"/>
      <sz val="9"/>
    </font>
    <font>
      <name val="Arial"/>
      <color rgb="FF15161A"/>
      <sz val="9"/>
    </font>
    <font>
      <name val="Arial"/>
      <b val="1"/>
      <color rgb="FF6E7178"/>
      <sz val="9"/>
    </font>
    <font>
      <name val="Arial"/>
      <i val="1"/>
      <color rgb="FF6E7178"/>
      <sz val="9"/>
    </font>
  </fonts>
  <fills count="13">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FFFDF0"/>
        <bgColor rgb="FFFFFFFF"/>
      </patternFill>
    </fill>
    <fill>
      <patternFill patternType="solid">
        <fgColor rgb="FFFFFFFF"/>
        <bgColor rgb="FFFFFDF0"/>
      </patternFill>
    </fill>
    <fill>
      <patternFill patternType="solid">
        <fgColor rgb="FF9E9E9E"/>
        <bgColor rgb="FF878787"/>
      </patternFill>
    </fill>
    <fill>
      <patternFill patternType="solid">
        <fgColor rgb="FFF2F2F2"/>
        <bgColor rgb="FFF2F4F8"/>
      </patternFill>
    </fill>
    <fill>
      <patternFill patternType="solid">
        <fgColor rgb="FFC0392B"/>
        <bgColor rgb="FF993366"/>
      </patternFill>
    </fill>
    <fill>
      <patternFill patternType="solid">
        <fgColor rgb="FFF2F4F8"/>
        <bgColor rgb="FFF2F2F2"/>
      </patternFill>
    </fill>
    <fill>
      <patternFill patternType="solid">
        <fgColor rgb="FFF7F7F5"/>
        <bgColor rgb="FFF2F4F8"/>
      </patternFill>
    </fill>
    <fill>
      <patternFill patternType="solid">
        <fgColor rgb="FFD9D9D9"/>
        <bgColor rgb="FFC6EFCE"/>
      </patternFill>
    </fill>
    <fill>
      <patternFill patternType="solid">
        <fgColor rgb="FF15161A"/>
      </patternFill>
    </fill>
  </fills>
  <borders count="5">
    <border>
      <left/>
      <right/>
      <top/>
      <bottom/>
      <diagonal/>
    </border>
    <border>
      <left style="thin">
        <color rgb="FFBFBFBF"/>
      </left>
      <right style="thin">
        <color rgb="FFBFBFBF"/>
      </right>
      <top style="thin">
        <color rgb="FFBFBFBF"/>
      </top>
      <bottom style="thin">
        <color rgb="FFBFBFBF"/>
      </bottom>
      <diagonal/>
    </border>
    <border>
      <bottom style="medium">
        <color rgb="FFCD232F"/>
      </bottom>
    </border>
    <border>
      <bottom style="thin">
        <color rgb="FFC9CCD2"/>
      </bottom>
    </border>
    <border>
      <left style="dashed">
        <color rgb="FF6E7178"/>
      </left>
      <right style="dashed">
        <color rgb="FF6E7178"/>
      </right>
      <top style="dashed">
        <color rgb="FF6E7178"/>
      </top>
      <bottom style="dashed">
        <color rgb="FF6E717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3" fontId="10" fillId="4" borderId="1" applyAlignment="1" applyProtection="1" pivotButton="0" quotePrefix="0" xfId="0">
      <alignment horizontal="center" vertical="center"/>
      <protection locked="0" hidden="0"/>
    </xf>
    <xf numFmtId="164" fontId="10" fillId="4" borderId="1" applyAlignment="1" applyProtection="1" pivotButton="0" quotePrefix="0" xfId="0">
      <alignment horizontal="center" vertical="center"/>
      <protection locked="0" hidden="0"/>
    </xf>
    <xf numFmtId="0" fontId="11" fillId="0" borderId="1" applyAlignment="1" pivotButton="0" quotePrefix="0" xfId="0">
      <alignment horizontal="center" vertical="center" wrapText="1"/>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3" fontId="10" fillId="5" borderId="1" applyAlignment="1" applyProtection="1" pivotButton="0" quotePrefix="0" xfId="0">
      <alignment horizontal="center" vertical="center"/>
      <protection locked="0" hidden="0"/>
    </xf>
    <xf numFmtId="164" fontId="10" fillId="5" borderId="1" applyAlignment="1" applyProtection="1" pivotButton="0" quotePrefix="0" xfId="0">
      <alignment horizontal="center" vertical="center"/>
      <protection locked="0" hidden="0"/>
    </xf>
    <xf numFmtId="0" fontId="12" fillId="6" borderId="0" applyAlignment="1" pivotButton="0" quotePrefix="0" xfId="0">
      <alignment horizontal="center" vertical="center"/>
    </xf>
    <xf numFmtId="0" fontId="5" fillId="7" borderId="0" applyAlignment="1" pivotButton="0" quotePrefix="0" xfId="0">
      <alignment horizontal="general" vertical="top" wrapText="1"/>
    </xf>
    <xf numFmtId="165" fontId="10" fillId="4" borderId="1" applyAlignment="1" applyProtection="1" pivotButton="0" quotePrefix="0" xfId="0">
      <alignment horizontal="center" vertical="center"/>
      <protection locked="0" hidden="0"/>
    </xf>
    <xf numFmtId="165" fontId="10" fillId="5" borderId="1" applyAlignment="1" applyProtection="1" pivotButton="0" quotePrefix="0" xfId="0">
      <alignment horizontal="center" vertical="center"/>
      <protection locked="0" hidden="0"/>
    </xf>
    <xf numFmtId="0" fontId="13" fillId="0" borderId="1" applyAlignment="1" pivotButton="0" quotePrefix="0" xfId="0">
      <alignment horizontal="center" vertical="center"/>
    </xf>
    <xf numFmtId="0" fontId="12" fillId="2" borderId="0" applyAlignment="1" pivotButton="0" quotePrefix="0" xfId="0">
      <alignment horizontal="center" vertical="center"/>
    </xf>
    <xf numFmtId="0" fontId="12" fillId="8" borderId="0" applyAlignment="1" pivotButton="0" quotePrefix="0" xfId="0">
      <alignment horizontal="center" vertical="center"/>
    </xf>
    <xf numFmtId="0" fontId="14" fillId="9" borderId="0" applyAlignment="1" pivotButton="0" quotePrefix="0" xfId="0">
      <alignment horizontal="center" vertical="center"/>
    </xf>
    <xf numFmtId="0" fontId="15" fillId="0" borderId="0" applyAlignment="1" pivotButton="0" quotePrefix="0" xfId="0">
      <alignment horizontal="center" vertical="center"/>
    </xf>
    <xf numFmtId="0" fontId="5" fillId="10" borderId="0" applyAlignment="1" pivotButton="0" quotePrefix="0" xfId="0">
      <alignment horizontal="general" vertical="top" wrapText="1"/>
    </xf>
    <xf numFmtId="0" fontId="16" fillId="0" borderId="0" applyAlignment="1" pivotButton="0" quotePrefix="0" xfId="0">
      <alignment horizontal="general" vertical="bottom"/>
    </xf>
    <xf numFmtId="0" fontId="13" fillId="11" borderId="1" applyAlignment="1" pivotButton="0" quotePrefix="0" xfId="0">
      <alignment horizontal="general" vertical="bottom"/>
    </xf>
    <xf numFmtId="0" fontId="17" fillId="0" borderId="0" applyAlignment="1" pivotButton="0" quotePrefix="0" xfId="0">
      <alignment horizontal="general" vertical="bottom"/>
    </xf>
    <xf numFmtId="0" fontId="13" fillId="7"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7" fillId="5" borderId="1" applyAlignment="1" pivotButton="0" quotePrefix="0" xfId="0">
      <alignment horizontal="general" vertical="top" wrapText="1"/>
    </xf>
    <xf numFmtId="0" fontId="7" fillId="7" borderId="1" applyAlignment="1" pivotButton="0" quotePrefix="0" xfId="0">
      <alignment horizontal="general"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0" fillId="0" borderId="0" pivotButton="0" quotePrefix="0" xfId="0"/>
    <xf numFmtId="0" fontId="25" fillId="0" borderId="0" applyAlignment="1" pivotButton="0" quotePrefix="0" xfId="0">
      <alignment horizontal="left" vertical="center"/>
    </xf>
    <xf numFmtId="0" fontId="26" fillId="0" borderId="0" applyAlignment="1" pivotButton="0" quotePrefix="0" xfId="0">
      <alignment horizontal="right" vertical="center"/>
    </xf>
    <xf numFmtId="0" fontId="0" fillId="0" borderId="2" pivotButton="0" quotePrefix="0" xfId="0"/>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9" fillId="0" borderId="0" applyAlignment="1" pivotButton="0" quotePrefix="0" xfId="0">
      <alignment horizontal="left" vertical="top" wrapText="1"/>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0" fillId="0" borderId="3" pivotButton="0" quotePrefix="0" xfId="0"/>
    <xf numFmtId="0" fontId="32" fillId="0" borderId="0" applyAlignment="1" pivotButton="0" quotePrefix="0" xfId="0">
      <alignment horizontal="left" vertical="center"/>
    </xf>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3" fillId="0" borderId="0" applyAlignment="1" pivotButton="0" quotePrefix="0" xfId="0">
      <alignment horizontal="left" vertical="top" wrapText="1"/>
    </xf>
    <xf numFmtId="0" fontId="37" fillId="0" borderId="0" applyAlignment="1" pivotButton="0" quotePrefix="0" xfId="0">
      <alignment horizontal="center" vertical="center"/>
    </xf>
    <xf numFmtId="0" fontId="38" fillId="12" borderId="0" applyAlignment="1" pivotButton="0" quotePrefix="0" xfId="0">
      <alignment horizontal="left" vertical="center"/>
    </xf>
    <xf numFmtId="0" fontId="0" fillId="12" borderId="0" pivotButton="0" quotePrefix="0" xfId="0"/>
    <xf numFmtId="0" fontId="39" fillId="0" borderId="3" applyAlignment="1" pivotButton="0" quotePrefix="0" xfId="0">
      <alignment horizontal="left" vertical="top" wrapText="1"/>
    </xf>
    <xf numFmtId="0" fontId="40" fillId="0" borderId="3" applyAlignment="1" pivotButton="0" quotePrefix="0" xfId="0">
      <alignment horizontal="left" vertical="top" wrapText="1"/>
    </xf>
    <xf numFmtId="0" fontId="41" fillId="0" borderId="0" applyAlignment="1" pivotButton="0" quotePrefix="0" xfId="0">
      <alignment horizontal="left" vertical="top" wrapText="1"/>
    </xf>
    <xf numFmtId="0" fontId="36" fillId="0" borderId="0" applyAlignment="1" pivotButton="0" quotePrefix="0" xfId="0">
      <alignment horizontal="left" vertical="top" wrapText="1"/>
    </xf>
    <xf numFmtId="0" fontId="42" fillId="0" borderId="4" applyAlignment="1" pivotButton="0" quotePrefix="0" xfId="0">
      <alignment horizontal="center" vertical="center" wrapText="1"/>
    </xf>
    <xf numFmtId="0" fontId="0" fillId="0" borderId="4" pivotButton="0" quotePrefix="0" xfId="0"/>
    <xf numFmtId="0" fontId="26" fillId="0" borderId="0" applyAlignment="1" pivotButton="0" quotePrefix="0" xfId="0">
      <alignment horizontal="left" vertical="top" wrapText="1"/>
    </xf>
    <xf numFmtId="0" fontId="32" fillId="0" borderId="3" applyAlignment="1" pivotButton="0" quotePrefix="0" xfId="0">
      <alignment horizontal="left" vertical="center"/>
    </xf>
    <xf numFmtId="0" fontId="33" fillId="0" borderId="3" applyAlignment="1" pivotButton="0" quotePrefix="0" xfId="0">
      <alignment horizontal="left" vertical="center"/>
    </xf>
    <xf numFmtId="0" fontId="40" fillId="0" borderId="0" applyAlignment="1" pivotButton="0" quotePrefix="0" xfId="0">
      <alignment horizontal="left" vertical="top" wrapText="1"/>
    </xf>
    <xf numFmtId="0" fontId="43" fillId="0" borderId="0" applyAlignment="1" pivotButton="0" quotePrefix="0" xfId="0">
      <alignment horizontal="left" vertical="center"/>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3" fontId="10" fillId="4" borderId="1" applyAlignment="1" applyProtection="1" pivotButton="0" quotePrefix="0" xfId="0">
      <alignment horizontal="center" vertical="center"/>
      <protection locked="0" hidden="0"/>
    </xf>
    <xf numFmtId="164" fontId="10" fillId="4" borderId="1" applyAlignment="1" applyProtection="1" pivotButton="0" quotePrefix="0" xfId="0">
      <alignment horizontal="center" vertical="center"/>
      <protection locked="0" hidden="0"/>
    </xf>
    <xf numFmtId="0" fontId="11" fillId="0" borderId="1" applyAlignment="1" pivotButton="0" quotePrefix="0" xfId="0">
      <alignment horizontal="center" vertical="center" wrapText="1"/>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3" fontId="10" fillId="5" borderId="1" applyAlignment="1" applyProtection="1" pivotButton="0" quotePrefix="0" xfId="0">
      <alignment horizontal="center" vertical="center"/>
      <protection locked="0" hidden="0"/>
    </xf>
    <xf numFmtId="164" fontId="10" fillId="5" borderId="1" applyAlignment="1" applyProtection="1" pivotButton="0" quotePrefix="0" xfId="0">
      <alignment horizontal="center" vertical="center"/>
      <protection locked="0" hidden="0"/>
    </xf>
    <xf numFmtId="0" fontId="12" fillId="6" borderId="0" applyAlignment="1" pivotButton="0" quotePrefix="0" xfId="0">
      <alignment horizontal="center" vertical="center"/>
    </xf>
    <xf numFmtId="0" fontId="5" fillId="7" borderId="0" applyAlignment="1" pivotButton="0" quotePrefix="0" xfId="0">
      <alignment horizontal="general" vertical="top" wrapText="1"/>
    </xf>
    <xf numFmtId="165" fontId="10" fillId="4" borderId="1" applyAlignment="1" applyProtection="1" pivotButton="0" quotePrefix="0" xfId="0">
      <alignment horizontal="center" vertical="center"/>
      <protection locked="0" hidden="0"/>
    </xf>
    <xf numFmtId="165" fontId="10" fillId="5" borderId="1" applyAlignment="1" applyProtection="1" pivotButton="0" quotePrefix="0" xfId="0">
      <alignment horizontal="center" vertical="center"/>
      <protection locked="0" hidden="0"/>
    </xf>
    <xf numFmtId="0" fontId="13" fillId="0" borderId="1" applyAlignment="1" pivotButton="0" quotePrefix="0" xfId="0">
      <alignment horizontal="center" vertical="center"/>
    </xf>
    <xf numFmtId="0" fontId="12" fillId="2" borderId="0" applyAlignment="1" pivotButton="0" quotePrefix="0" xfId="0">
      <alignment horizontal="center" vertical="center"/>
    </xf>
    <xf numFmtId="0" fontId="12" fillId="8" borderId="0" applyAlignment="1" pivotButton="0" quotePrefix="0" xfId="0">
      <alignment horizontal="center" vertical="center"/>
    </xf>
    <xf numFmtId="0" fontId="14" fillId="9" borderId="0" applyAlignment="1" pivotButton="0" quotePrefix="0" xfId="0">
      <alignment horizontal="center" vertical="center"/>
    </xf>
    <xf numFmtId="0" fontId="15" fillId="0" borderId="0" applyAlignment="1" pivotButton="0" quotePrefix="0" xfId="0">
      <alignment horizontal="center" vertical="center"/>
    </xf>
    <xf numFmtId="0" fontId="5" fillId="10" borderId="0" applyAlignment="1" pivotButton="0" quotePrefix="0" xfId="0">
      <alignment horizontal="general" vertical="top" wrapText="1"/>
    </xf>
    <xf numFmtId="0" fontId="16" fillId="0" borderId="0" applyAlignment="1" pivotButton="0" quotePrefix="0" xfId="0">
      <alignment horizontal="general" vertical="bottom"/>
    </xf>
    <xf numFmtId="0" fontId="13" fillId="11" borderId="1" applyAlignment="1" pivotButton="0" quotePrefix="0" xfId="0">
      <alignment horizontal="general" vertical="bottom"/>
    </xf>
    <xf numFmtId="0" fontId="17" fillId="0" borderId="0" applyAlignment="1" pivotButton="0" quotePrefix="0" xfId="0">
      <alignment horizontal="general" vertical="bottom"/>
    </xf>
    <xf numFmtId="0" fontId="13" fillId="7" borderId="1" applyAlignment="1" pivotButton="0" quotePrefix="0" xfId="0">
      <alignment horizontal="general" vertical="top" wrapText="1"/>
    </xf>
    <xf numFmtId="0" fontId="7"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7" fillId="5" borderId="1" applyAlignment="1" pivotButton="0" quotePrefix="0" xfId="0">
      <alignment horizontal="general" vertical="top" wrapText="1"/>
    </xf>
    <xf numFmtId="0" fontId="7" fillId="7" borderId="1" applyAlignment="1" pivotButton="0" quotePrefix="0" xfId="0">
      <alignment horizontal="general"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2E5C8A"/>
          <bgColor rgb="FF000000"/>
        </patternFill>
      </fill>
    </dxf>
    <dxf>
      <fill>
        <patternFill patternType="solid">
          <fgColor rgb="FFFFFDF0"/>
          <bgColor rgb="FF000000"/>
        </patternFill>
      </fill>
    </dxf>
    <dxf>
      <fill>
        <patternFill patternType="solid">
          <fgColor rgb="FF0000CC"/>
          <bgColor rgb="FF000000"/>
        </patternFill>
      </fill>
    </dxf>
    <dxf>
      <fill>
        <patternFill patternType="solid">
          <fgColor rgb="FFFFFFFF"/>
          <bgColor rgb="FF000000"/>
        </patternFill>
      </fill>
    </dxf>
    <dxf>
      <fill>
        <patternFill patternType="solid">
          <bgColor rgb="FF000000"/>
        </patternFill>
      </fill>
    </dxf>
    <dxf>
      <fill>
        <patternFill patternType="solid">
          <fgColor rgb="FF9C0006"/>
          <bgColor rgb="FF000000"/>
        </patternFill>
      </fill>
    </dxf>
    <dxf>
      <fill>
        <patternFill>
          <bgColor rgb="FFFFC7CE"/>
        </patternFill>
      </fill>
    </dxf>
    <dxf>
      <fill>
        <patternFill>
          <bgColor rgb="FFFFE699"/>
        </patternFill>
      </fill>
    </dxf>
    <dxf>
      <fill>
        <patternFill>
          <bgColor rgb="FFC6EFCE"/>
        </patternFill>
      </fill>
    </dxf>
    <dxf>
      <font>
        <name val="Arial"/>
        <charset val="1"/>
        <family val="0"/>
        <b val="1"/>
        <color rgb="FF006100"/>
        <sz val="9"/>
      </font>
      <fill>
        <patternFill>
          <bgColor rgb="FFC6EFCE"/>
        </patternFill>
      </fill>
    </dxf>
  </dxfs>
  <colors>
    <indexedColors>
      <rgbColor rgb="FF000000"/>
      <rgbColor rgb="FFFFFFFF"/>
      <rgbColor rgb="FFFF0000"/>
      <rgbColor rgb="FF00FF00"/>
      <rgbColor rgb="FF0000CC"/>
      <rgbColor rgb="FFFFFF00"/>
      <rgbColor rgb="FFFF00FF"/>
      <rgbColor rgb="FF00FFFF"/>
      <rgbColor rgb="FF9C0006"/>
      <rgbColor rgb="FF006100"/>
      <rgbColor rgb="FF000080"/>
      <rgbColor rgb="FF777777"/>
      <rgbColor rgb="FF800080"/>
      <rgbColor rgb="FF008080"/>
      <rgbColor rgb="FFBFBFBF"/>
      <rgbColor rgb="FF878787"/>
      <rgbColor rgb="FF9999FF"/>
      <rgbColor rgb="FF595959"/>
      <rgbColor rgb="FFFFFDF0"/>
      <rgbColor rgb="FFF2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F7F7F5"/>
      <rgbColor rgb="FFFF99CC"/>
      <rgbColor rgb="FFCC99FF"/>
      <rgbColor rgb="FFFFC7CE"/>
      <rgbColor rgb="FF3366FF"/>
      <rgbColor rgb="FF33CCCC"/>
      <rgbColor rgb="FF99CC00"/>
      <rgbColor rgb="FFFFCC00"/>
      <rgbColor rgb="FFD68910"/>
      <rgbColor rgb="FFFF6600"/>
      <rgbColor rgb="FF6A6A6A"/>
      <rgbColor rgb="FF9E9E9E"/>
      <rgbColor rgb="FF1F3864"/>
      <rgbColor rgb="FF339966"/>
      <rgbColor rgb="FF15161A"/>
      <rgbColor rgb="FF444444"/>
      <rgbColor rgb="FFC0392B"/>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Knowledge items by category</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Dashboard!B47</f>
              <strCache>
                <ptCount val="1"/>
                <pt idx="0">
                  <v>Items</v>
                </pt>
              </strCache>
            </strRef>
          </tx>
          <spPr>
            <a:solidFill xmlns:a="http://schemas.openxmlformats.org/drawingml/2006/main">
              <a:srgbClr val="1f3864"/>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Dashboard!$A$48:$A$52</f>
              <strCache>
                <ptCount val="5"/>
                <pt idx="0">
                  <v>will not transfer</v>
                </pt>
                <pt idx="1">
                  <v>apprenticeship</v>
                </pt>
                <pt idx="2">
                  <v>to be engineered out</v>
                </pt>
                <pt idx="3">
                  <v>to be documented</v>
                </pt>
                <pt idx="4">
                  <v>already documented</v>
                </pt>
              </strCache>
            </strRef>
          </cat>
          <val>
            <numRef>
              <f>Dashboard!$B$48:$B$52</f>
              <numCache>
                <formatCode>General</formatCode>
                <ptCount val="5"/>
                <pt idx="0">
                  <v>0</v>
                </pt>
                <pt idx="1">
                  <v>0</v>
                </pt>
                <pt idx="2">
                  <v>0</v>
                </pt>
                <pt idx="3">
                  <v>0</v>
                </pt>
                <pt idx="4">
                  <v>0</v>
                </pt>
              </numCache>
            </numRef>
          </val>
        </ser>
        <gapWidth val="50"/>
        <overlap val="0"/>
        <axId val="53395949"/>
        <axId val="33866878"/>
      </barChart>
      <catAx>
        <axId val="5339594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3866878"/>
        <crosses val="autoZero"/>
        <auto val="1"/>
        <lblAlgn val="ctr"/>
        <lblOffset val="100"/>
        <noMultiLvlLbl val="0"/>
      </catAx>
      <valAx>
        <axId val="33866878"/>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5339594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Suppliers by consequence</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Dashboard!B54</f>
              <strCache>
                <ptCount val="1"/>
                <pt idx="0">
                  <v>Suppliers</v>
                </pt>
              </strCache>
            </strRef>
          </tx>
          <spPr>
            <a:solidFill xmlns:a="http://schemas.openxmlformats.org/drawingml/2006/main">
              <a:srgbClr val="c0392b"/>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Dashboard!$A$55:$A$60</f>
              <strCache>
                <ptCount val="6"/>
                <pt idx="0">
                  <v>indefinitely</v>
                </pt>
                <pt idx="1">
                  <v>over a year</v>
                </pt>
                <pt idx="2">
                  <v>3-12 months</v>
                </pt>
                <pt idx="3">
                  <v>1-3 months</v>
                </pt>
                <pt idx="4">
                  <v>2-4 weeks</v>
                </pt>
                <pt idx="5">
                  <v>days</v>
                </pt>
              </strCache>
            </strRef>
          </cat>
          <val>
            <numRef>
              <f>Dashboard!$B$55:$B$60</f>
              <numCache>
                <formatCode>General</formatCode>
                <ptCount val="6"/>
                <pt idx="0">
                  <v>0</v>
                </pt>
                <pt idx="1">
                  <v>0</v>
                </pt>
                <pt idx="2">
                  <v>0</v>
                </pt>
                <pt idx="3">
                  <v>0</v>
                </pt>
                <pt idx="4">
                  <v>0</v>
                </pt>
                <pt idx="5">
                  <v>0</v>
                </pt>
              </numCache>
            </numRef>
          </val>
        </ser>
        <gapWidth val="50"/>
        <overlap val="0"/>
        <axId val="21020106"/>
        <axId val="37534340"/>
      </barChart>
      <catAx>
        <axId val="21020106"/>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7534340"/>
        <crosses val="autoZero"/>
        <auto val="1"/>
        <lblAlgn val="ctr"/>
        <lblOffset val="100"/>
        <noMultiLvlLbl val="0"/>
      </catAx>
      <valAx>
        <axId val="37534340"/>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2102010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Transition gap analysis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Dashboard!B62</f>
              <strCache>
                <ptCount val="1"/>
                <pt idx="0">
                  <v>Items</v>
                </pt>
              </strCache>
            </strRef>
          </tx>
          <spPr>
            <a:solidFill xmlns:a="http://schemas.openxmlformats.org/drawingml/2006/main">
              <a:srgbClr val="d6891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Dashboard!$A$63:$A$66</f>
              <strCache>
                <ptCount val="4"/>
                <pt idx="0">
                  <v>already done</v>
                </pt>
                <pt idx="1">
                  <v>done not evidenced</v>
                </pt>
                <pt idx="2">
                  <v>not done low effort</v>
                </pt>
                <pt idx="3">
                  <v>not done real work</v>
                </pt>
              </strCache>
            </strRef>
          </cat>
          <val>
            <numRef>
              <f>Dashboard!$B$63:$B$66</f>
              <numCache>
                <formatCode>General</formatCode>
                <ptCount val="4"/>
                <pt idx="0">
                  <v>0</v>
                </pt>
                <pt idx="1">
                  <v>0</v>
                </pt>
                <pt idx="2">
                  <v>0</v>
                </pt>
                <pt idx="3">
                  <v>0</v>
                </pt>
              </numCache>
            </numRef>
          </val>
        </ser>
        <gapWidth val="60"/>
        <overlap val="0"/>
        <axId val="15260002"/>
        <axId val="17752105"/>
      </barChart>
      <catAx>
        <axId val="1526000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17752105"/>
        <crosses val="autoZero"/>
        <auto val="1"/>
        <lblAlgn val="ctr"/>
        <lblOffset val="100"/>
        <noMultiLvlLbl val="0"/>
      </catAx>
      <valAx>
        <axId val="17752105"/>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1526000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6.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col>
      <colOff>0</colOff>
      <row>2</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editAs="oneCell">
    <from>
      <col>3</col>
      <colOff>0</colOff>
      <row>0</row>
      <rowOff>0</rowOff>
    </from>
    <to>
      <col>5</col>
      <colOff>453240</colOff>
      <row>1</row>
      <rowOff>199440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10600" y="0"/>
          <a:ext cx="1676160" cy="5234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8</row>
      <rowOff>0</rowOff>
    </from>
    <to>
      <col>5</col>
      <colOff>379080</colOff>
      <row>23</row>
      <rowOff>20880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0</colOff>
      <row>8</row>
      <rowOff>0</rowOff>
    </from>
    <to>
      <col>11</col>
      <colOff>10440</colOff>
      <row>23</row>
      <rowOff>20880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27</row>
      <rowOff>0</rowOff>
    </from>
    <to>
      <col>6</col>
      <colOff>503640</colOff>
      <row>41</row>
      <rowOff>67680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6.xml><?xml version="1.0" encoding="utf-8"?>
<wsDr xmlns="http://schemas.openxmlformats.org/drawingml/2006/spreadsheetDrawing">
  <twoCellAnchor editAs="oneCell">
    <from>
      <col>1</col>
      <colOff>0</colOff>
      <row>1</row>
      <rowOff>0</rowOff>
    </from>
    <to>
      <col>1</col>
      <colOff>2133360</colOff>
      <row>4</row>
      <rowOff>94680</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33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4.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5161A"/>
    <outlinePr summaryBelow="1" summaryRight="1"/>
    <pageSetUpPr fitToPage="1"/>
  </sheetPr>
  <dimension ref="B3:H29"/>
  <sheetViews>
    <sheetView showGridLines="0" tabSelected="1" topLeftCell="A1" workbookViewId="0">
      <selection activeCell="A1" sqref="A1"/>
    </sheetView>
  </sheetViews>
  <sheetFormatPr baseColWidth="8" defaultRowHeight="15"/>
  <cols>
    <col width="2.5" customWidth="1" style="40" min="1" max="1"/>
    <col width="13" customWidth="1" style="40" min="2" max="2"/>
    <col width="13" customWidth="1" style="40" min="3" max="3"/>
    <col width="13" customWidth="1" style="40" min="4" max="4"/>
    <col width="13" customWidth="1" style="40" min="5" max="5"/>
    <col width="13" customWidth="1" style="40" min="6" max="6"/>
    <col width="13" customWidth="1" style="40" min="7" max="7"/>
    <col width="13" customWidth="1" style="40" min="8" max="8"/>
    <col width="2.5" customWidth="1" style="40" min="9" max="9"/>
  </cols>
  <sheetData>
    <row r="2" ht="18" customHeight="1" s="40"/>
    <row r="3" ht="44" customHeight="1" s="40">
      <c r="E3" s="41" t="inlineStr">
        <is>
          <t>THE NORWOOD FILES</t>
        </is>
      </c>
      <c r="H3" s="42" t="inlineStr">
        <is>
          <t>NF-CW4  ·  v2.0</t>
        </is>
      </c>
    </row>
    <row r="4" ht="6" customHeight="1" s="40">
      <c r="B4" s="43" t="n"/>
      <c r="C4" s="43" t="n"/>
      <c r="D4" s="43" t="n"/>
      <c r="E4" s="43" t="n"/>
      <c r="F4" s="43" t="n"/>
      <c r="G4" s="43" t="n"/>
      <c r="H4" s="43" t="n"/>
    </row>
    <row r="5" ht="14" customHeight="1" s="40"/>
    <row r="6" ht="14" customHeight="1" s="40"/>
    <row r="7" ht="14" customHeight="1" s="40"/>
    <row r="8" ht="14" customHeight="1" s="40"/>
    <row r="9" ht="20" customHeight="1" s="40">
      <c r="B9" s="44" t="inlineStr">
        <is>
          <t>OFFICIAL COMPANION WORKBOOK</t>
        </is>
      </c>
    </row>
    <row r="11" ht="46" customHeight="1" s="40">
      <c r="B11" s="45" t="inlineStr">
        <is>
          <t>The Norwood Files</t>
        </is>
      </c>
    </row>
    <row r="12" ht="17" customHeight="1" s="40">
      <c r="B12" s="46" t="inlineStr">
        <is>
          <t>A Novel About Risk, Audit and Root Cause in a Factory That Stopped Pretending</t>
        </is>
      </c>
    </row>
    <row r="13" ht="17" customHeight="1" s="40"/>
    <row r="15" ht="26" customHeight="1" s="40">
      <c r="B15" s="47" t="inlineStr">
        <is>
          <t>Companion to Part Four — The Supplier and the Knowledge</t>
        </is>
      </c>
    </row>
    <row r="16" ht="16" customHeight="1" s="40">
      <c r="B16" s="48" t="inlineStr">
        <is>
          <t>The forms from the book, with the rules already written into the formulas.</t>
        </is>
      </c>
    </row>
    <row r="19" ht="6" customHeight="1" s="40">
      <c r="B19" s="49" t="n"/>
      <c r="C19" s="49" t="n"/>
      <c r="D19" s="49" t="n"/>
      <c r="E19" s="49" t="n"/>
      <c r="F19" s="49" t="n"/>
      <c r="G19" s="49" t="n"/>
      <c r="H19" s="49" t="n"/>
    </row>
    <row r="21" ht="18" customHeight="1" s="40">
      <c r="B21" s="50" t="inlineStr">
        <is>
          <t>REVISION</t>
        </is>
      </c>
      <c r="C21" s="51" t="inlineStr">
        <is>
          <t>v2.0  ·  NF-CW4</t>
        </is>
      </c>
    </row>
    <row r="22" ht="18" customHeight="1" s="40">
      <c r="B22" s="50" t="inlineStr">
        <is>
          <t>EDITION</t>
        </is>
      </c>
      <c r="C22" s="51" t="inlineStr">
        <is>
          <t>Current to the 2026 edition of ISO 9001</t>
        </is>
      </c>
    </row>
    <row r="23" ht="18" customHeight="1" s="40">
      <c r="B23" s="50" t="inlineStr">
        <is>
          <t>BASELINE</t>
        </is>
      </c>
      <c r="C23" s="51" t="inlineStr">
        <is>
          <t>Matches the omnibus first edition of The Norwood Files (build RC-Rev9)</t>
        </is>
      </c>
    </row>
    <row r="24" ht="18" customHeight="1" s="40">
      <c r="B24" s="50" t="inlineStr">
        <is>
          <t>ISSUED</t>
        </is>
      </c>
      <c r="C24" s="51" t="inlineStr">
        <is>
          <t>29 August 2026</t>
        </is>
      </c>
    </row>
    <row r="28" ht="22" customHeight="1" s="40">
      <c r="B28" s="52" t="inlineStr">
        <is>
          <t>Dan Bleigh</t>
        </is>
      </c>
    </row>
    <row r="29">
      <c r="B29" s="48" t="inlineStr">
        <is>
          <t>The Norwood Files</t>
        </is>
      </c>
    </row>
  </sheetData>
  <sheetProtection selectLockedCells="0" selectUnlockedCells="0" sheet="1" objects="0" insertRows="1" insertHyperlinks="1" autoFilter="1" scenarios="0" formatColumns="1" deleteColumns="1" insertColumns="1" pivotTables="1" deleteRows="1" formatCells="1" formatRows="1" sort="1"/>
  <mergeCells count="8">
    <mergeCell ref="C24:H24"/>
    <mergeCell ref="C22:H22"/>
    <mergeCell ref="C23:H23"/>
    <mergeCell ref="B12:H13"/>
    <mergeCell ref="B16:H16"/>
    <mergeCell ref="B15:H15"/>
    <mergeCell ref="B11:H11"/>
    <mergeCell ref="C21:H21"/>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5161A"/>
    <outlinePr summaryBelow="1" summaryRight="1"/>
    <pageSetUpPr fitToPage="1"/>
  </sheetPr>
  <dimension ref="B2:H68"/>
  <sheetViews>
    <sheetView showGridLines="0" tabSelected="0" topLeftCell="A1" workbookViewId="0">
      <selection activeCell="A1" sqref="A1"/>
    </sheetView>
  </sheetViews>
  <sheetFormatPr baseColWidth="8" defaultRowHeight="15"/>
  <cols>
    <col width="2.5" customWidth="1" style="40" min="1" max="1"/>
    <col width="13" customWidth="1" style="40" min="2" max="2"/>
    <col width="13" customWidth="1" style="40" min="3" max="3"/>
    <col width="13" customWidth="1" style="40" min="4" max="4"/>
    <col width="13" customWidth="1" style="40" min="5" max="5"/>
    <col width="13" customWidth="1" style="40" min="6" max="6"/>
    <col width="13" customWidth="1" style="40" min="7" max="7"/>
    <col width="13" customWidth="1" style="40" min="8" max="8"/>
    <col width="2.5" customWidth="1" style="40" min="9" max="9"/>
  </cols>
  <sheetData>
    <row r="2" ht="44" customHeight="1" s="40">
      <c r="E2" s="41" t="inlineStr">
        <is>
          <t>THE NORWOOD FILES</t>
        </is>
      </c>
      <c r="H2" s="42" t="inlineStr">
        <is>
          <t>NF-CW4  ·  v2.0</t>
        </is>
      </c>
    </row>
    <row r="3" ht="6" customHeight="1" s="40">
      <c r="B3" s="43" t="n"/>
      <c r="C3" s="43" t="n"/>
      <c r="D3" s="43" t="n"/>
      <c r="E3" s="43" t="n"/>
      <c r="F3" s="43" t="n"/>
      <c r="G3" s="43" t="n"/>
      <c r="H3" s="43" t="n"/>
    </row>
    <row r="5" ht="30" customHeight="1" s="40">
      <c r="B5" s="53" t="inlineStr">
        <is>
          <t>WELCOME</t>
        </is>
      </c>
    </row>
    <row r="7" ht="20" customHeight="1" s="40">
      <c r="B7" s="54" t="inlineStr">
        <is>
          <t>WHAT THIS COMPANION IS FOR</t>
        </is>
      </c>
    </row>
    <row r="8" ht="14" customHeight="1" s="40">
      <c r="B8" s="55" t="inlineStr">
        <is>
          <t>This workbook is the working half of Part Four of The Norwood Files. It carries the forms from the book with the rules already written into the formulas, so that the method can be run on a real process instead of read about. Its subject is supplier risk ranked by consequence rather than spend, and the knowledge that leaves when a person does: elicitation, transfer and verification.</t>
        </is>
      </c>
    </row>
    <row r="9" ht="14" customHeight="1" s="40"/>
    <row r="10" ht="14" customHeight="1" s="40"/>
    <row r="11" ht="14" customHeight="1" s="40"/>
    <row r="12" ht="14" customHeight="1" s="40"/>
    <row r="14" ht="20" customHeight="1" s="40">
      <c r="B14" s="54" t="inlineStr">
        <is>
          <t>HOW TO USE IT</t>
        </is>
      </c>
    </row>
    <row r="15" ht="14" customHeight="1" s="40">
      <c r="B15" s="55" t="inlineStr">
        <is>
          <t>Work top to bottom, in sheet order. Enter your own data; the calculated columns look after themselves. Nothing in the book depends on this file — every form is printed in full in the book and can be photocopied or rebuilt by hand. This file exists because typing formulas is not a good use of your afternoon.</t>
        </is>
      </c>
    </row>
    <row r="16" ht="14" customHeight="1" s="40"/>
    <row r="17" ht="14" customHeight="1" s="40"/>
    <row r="18" ht="14" customHeight="1" s="40"/>
    <row r="20" ht="20" customHeight="1" s="40">
      <c r="B20" s="54" t="inlineStr">
        <is>
          <t>RELATIONSHIP WITH THE BOOK</t>
        </is>
      </c>
    </row>
    <row r="21" ht="14" customHeight="1" s="40">
      <c r="B21" s="55" t="inlineStr">
        <is>
          <t>The numbered sheets carry the same Form numbers as the book. Form 19 in the book is Form 19 in this file. The sheets prefixed EXAMPLE are the worked cases from the book, complete and populated, so that you can see how a row behaves before you clear it and start on your own process.</t>
        </is>
      </c>
    </row>
    <row r="22" ht="14" customHeight="1" s="40"/>
    <row r="23" ht="14" customHeight="1" s="40"/>
    <row r="24" ht="14" customHeight="1" s="40"/>
    <row r="26" ht="20" customHeight="1" s="40">
      <c r="B26" s="54" t="inlineStr">
        <is>
          <t>READING RECOMMENDATION</t>
        </is>
      </c>
    </row>
    <row r="27" ht="14" customHeight="1" s="40">
      <c r="B27" s="55" t="inlineStr">
        <is>
          <t>Read the book’s narrative chapters first, then open this file with the book beside you. If you are working to a deadline, read the EXAMPLE sheet closest to your operation, then start on your own process — and read the chapters afterwards, because the reasoning is the transferable part.</t>
        </is>
      </c>
    </row>
    <row r="28" ht="14" customHeight="1" s="40"/>
    <row r="29" ht="14" customHeight="1" s="40"/>
    <row r="30" ht="14" customHeight="1" s="40"/>
    <row r="32" ht="20" customHeight="1" s="40">
      <c r="B32" s="54" t="inlineStr">
        <is>
          <t>CONVENTIONS USED THROUGHOUT</t>
        </is>
      </c>
    </row>
    <row r="33" ht="15" customHeight="1" s="40">
      <c r="B33" s="56" t="inlineStr">
        <is>
          <t>·</t>
        </is>
      </c>
      <c r="C33" s="51" t="inlineStr">
        <is>
          <t>Blue text on cream — you type here.</t>
        </is>
      </c>
    </row>
    <row r="34" ht="15" customHeight="1" s="40">
      <c r="B34" s="56" t="inlineStr">
        <is>
          <t>·</t>
        </is>
      </c>
      <c r="C34" s="51" t="inlineStr">
        <is>
          <t>Black bold — calculated. Do not overwrite.</t>
        </is>
      </c>
    </row>
    <row r="35" ht="15" customHeight="1" s="40">
      <c r="B35" s="56" t="inlineStr">
        <is>
          <t>·</t>
        </is>
      </c>
      <c r="C35" s="51" t="inlineStr">
        <is>
          <t>Yellow fill — attention: a value that needs a decision.</t>
        </is>
      </c>
    </row>
    <row r="36" ht="15" customHeight="1" s="40">
      <c r="B36" s="56" t="inlineStr">
        <is>
          <t>·</t>
        </is>
      </c>
      <c r="C36" s="51" t="inlineStr">
        <is>
          <t>Red ■ — a fired trigger, or a finding. Red is never used for decoration.</t>
        </is>
      </c>
    </row>
    <row r="39" ht="20" customHeight="1" s="40">
      <c r="B39" s="54" t="inlineStr">
        <is>
          <t>THE SHEETS IN THIS WORKBOOK</t>
        </is>
      </c>
    </row>
    <row r="40" ht="18" customHeight="1" s="40">
      <c r="B40" s="57" t="inlineStr">
        <is>
          <t>SHEET</t>
        </is>
      </c>
      <c r="C40" s="57" t="inlineStr">
        <is>
          <t>PURPOSE</t>
        </is>
      </c>
      <c r="D40" s="58" t="n"/>
      <c r="E40" s="58" t="n"/>
      <c r="F40" s="58" t="n"/>
      <c r="G40" s="58" t="n"/>
      <c r="H40" s="58" t="n"/>
    </row>
    <row r="41" ht="24" customHeight="1" s="40">
      <c r="B41" s="59" t="inlineStr">
        <is>
          <t>START HERE</t>
        </is>
      </c>
      <c r="C41" s="60" t="inlineStr">
        <is>
          <t>Orientation, order of work and the cell conventions.</t>
        </is>
      </c>
      <c r="D41" s="49" t="n"/>
      <c r="E41" s="49" t="n"/>
      <c r="F41" s="49" t="n"/>
      <c r="G41" s="49" t="n"/>
      <c r="H41" s="49" t="n"/>
    </row>
    <row r="42" ht="28" customHeight="1" s="40">
      <c r="B42" s="59" t="inlineStr">
        <is>
          <t>Form 17 Supplier Ranking</t>
        </is>
      </c>
      <c r="C42" s="60" t="inlineStr">
        <is>
          <t>Re-ranked on one question: how long could we ship if this one stopped tomorrow?</t>
        </is>
      </c>
      <c r="D42" s="49" t="n"/>
      <c r="E42" s="49" t="n"/>
      <c r="F42" s="49" t="n"/>
      <c r="G42" s="49" t="n"/>
      <c r="H42" s="49" t="n"/>
    </row>
    <row r="43" ht="28" customHeight="1" s="40">
      <c r="B43" s="59" t="inlineStr">
        <is>
          <t>Form 18 Assessment</t>
        </is>
      </c>
      <c r="C43" s="60" t="inlineStr">
        <is>
          <t>The second-party assessment, including the percentage in both directions.</t>
        </is>
      </c>
      <c r="D43" s="49" t="n"/>
      <c r="E43" s="49" t="n"/>
      <c r="F43" s="49" t="n"/>
      <c r="G43" s="49" t="n"/>
      <c r="H43" s="49" t="n"/>
    </row>
    <row r="44" ht="39.5" customHeight="1" s="40">
      <c r="B44" s="59" t="inlineStr">
        <is>
          <t>Form 19 Knowledge Inventory</t>
        </is>
      </c>
      <c r="C44" s="60" t="inlineStr">
        <is>
          <t>What would stop, degrade or take three times as long if this person did not come in tomorrow.</t>
        </is>
      </c>
      <c r="D44" s="49" t="n"/>
      <c r="E44" s="49" t="n"/>
      <c r="F44" s="49" t="n"/>
      <c r="G44" s="49" t="n"/>
      <c r="H44" s="49" t="n"/>
    </row>
    <row r="45" ht="28" customHeight="1" s="40">
      <c r="B45" s="59" t="inlineStr">
        <is>
          <t>Form 20 Transfer Tracker</t>
        </is>
      </c>
      <c r="C45" s="60" t="inlineStr">
        <is>
          <t>Transfer by category, with verification on real occurrences rather than demonstrations.</t>
        </is>
      </c>
      <c r="D45" s="49" t="n"/>
      <c r="E45" s="49" t="n"/>
      <c r="F45" s="49" t="n"/>
      <c r="G45" s="49" t="n"/>
      <c r="H45" s="49" t="n"/>
    </row>
    <row r="46" ht="28" customHeight="1" s="40">
      <c r="B46" s="59" t="inlineStr">
        <is>
          <t>Form 21 Transition</t>
        </is>
      </c>
      <c r="C46" s="60" t="inlineStr">
        <is>
          <t>The gap analysis that fits on two sides, with a verdict against each difference.</t>
        </is>
      </c>
      <c r="D46" s="49" t="n"/>
      <c r="E46" s="49" t="n"/>
      <c r="F46" s="49" t="n"/>
      <c r="G46" s="49" t="n"/>
      <c r="H46" s="49" t="n"/>
    </row>
    <row r="47" ht="24" customHeight="1" s="40">
      <c r="B47" s="59" t="inlineStr">
        <is>
          <t>Dashboard</t>
        </is>
      </c>
      <c r="C47" s="60" t="inlineStr">
        <is>
          <t>Supplier exposure and transfer completion.</t>
        </is>
      </c>
      <c r="D47" s="49" t="n"/>
      <c r="E47" s="49" t="n"/>
      <c r="F47" s="49" t="n"/>
      <c r="G47" s="49" t="n"/>
      <c r="H47" s="49" t="n"/>
    </row>
    <row r="48" ht="39.5" customHeight="1" s="40">
      <c r="B48" s="59" t="inlineStr">
        <is>
          <t>EXAMPLE A Single-source foundry</t>
        </is>
      </c>
      <c r="C48" s="60" t="inlineStr">
        <is>
          <t>Worked assessment: a single-source foundry. Complete, from the book.</t>
        </is>
      </c>
      <c r="D48" s="49" t="n"/>
      <c r="E48" s="49" t="n"/>
      <c r="F48" s="49" t="n"/>
      <c r="G48" s="49" t="n"/>
      <c r="H48" s="49" t="n"/>
    </row>
    <row r="49" ht="28" customHeight="1" s="40">
      <c r="B49" s="59" t="inlineStr">
        <is>
          <t>EXAMPLE B Distributor</t>
        </is>
      </c>
      <c r="C49" s="60" t="inlineStr">
        <is>
          <t>Worked assessment: a distributor. Complete, from the book.</t>
        </is>
      </c>
      <c r="D49" s="49" t="n"/>
      <c r="E49" s="49" t="n"/>
      <c r="F49" s="49" t="n"/>
      <c r="G49" s="49" t="n"/>
      <c r="H49" s="49" t="n"/>
    </row>
    <row r="50" ht="39.5" customHeight="1" s="40">
      <c r="B50" s="59" t="inlineStr">
        <is>
          <t>EXAMPLE C Calibration house</t>
        </is>
      </c>
      <c r="C50" s="60" t="inlineStr">
        <is>
          <t>Worked assessment: a calibration house. Complete, from the book.</t>
        </is>
      </c>
      <c r="D50" s="49" t="n"/>
      <c r="E50" s="49" t="n"/>
      <c r="F50" s="49" t="n"/>
      <c r="G50" s="49" t="n"/>
      <c r="H50" s="49" t="n"/>
    </row>
    <row r="51" ht="24" customHeight="1" s="40">
      <c r="B51" s="59" t="inlineStr">
        <is>
          <t>About</t>
        </is>
      </c>
      <c r="C51" s="60" t="inlineStr">
        <is>
          <t>Instrument identity, document code and control status.</t>
        </is>
      </c>
      <c r="D51" s="49" t="n"/>
      <c r="E51" s="49" t="n"/>
      <c r="F51" s="49" t="n"/>
      <c r="G51" s="49" t="n"/>
      <c r="H51" s="49" t="n"/>
    </row>
    <row r="54" ht="20" customHeight="1" s="40">
      <c r="B54" s="54" t="inlineStr">
        <is>
          <t>OFFICIAL COMPANION RESOURCES</t>
        </is>
      </c>
    </row>
    <row r="55" ht="13" customHeight="1" s="40">
      <c r="B55" s="61" t="inlineStr">
        <is>
          <t>The official repository holds this workbook, the other Companions in the series, and any corrected or updated revisions. There is nothing to sign up for and no address to leave.</t>
        </is>
      </c>
    </row>
    <row r="56" ht="13" customHeight="1" s="40"/>
    <row r="57" ht="13" customHeight="1" s="40"/>
    <row r="59" ht="13" customHeight="1" s="40">
      <c r="B59" s="62" t="inlineStr">
        <is>
          <t>‹ PH-01 · Companion download address — to be inserted before publication. NF-CIP §5. ›</t>
        </is>
      </c>
    </row>
    <row r="60" ht="13" customHeight="1" s="40"/>
    <row r="62" ht="15" customHeight="1" s="40">
      <c r="B62" s="63" t="inlineStr">
        <is>
          <t>QR CODE
RESERVED
‹ PH-02 ›</t>
        </is>
      </c>
      <c r="C62" s="64" t="n"/>
      <c r="E62" s="65" t="inlineStr">
        <is>
          <t>When the repository is published, the address and its QR code are placed here, and in Appendix B of the book. Until then this space is deliberately left blank rather than filled with an address that does not yet resolve. See the traceability table in NF-CIP §5.</t>
        </is>
      </c>
    </row>
    <row r="63" ht="15" customHeight="1" s="40">
      <c r="B63" s="64" t="n"/>
      <c r="C63" s="64" t="n"/>
    </row>
    <row r="64" ht="15" customHeight="1" s="40">
      <c r="B64" s="64" t="n"/>
      <c r="C64" s="64" t="n"/>
    </row>
    <row r="65" ht="15" customHeight="1" s="40">
      <c r="B65" s="64" t="n"/>
      <c r="C65" s="64" t="n"/>
    </row>
    <row r="66" ht="15" customHeight="1" s="40">
      <c r="B66" s="64" t="n"/>
      <c r="C66" s="64" t="n"/>
    </row>
    <row r="67" ht="15" customHeight="1" s="40">
      <c r="B67" s="64" t="n"/>
      <c r="C67" s="64" t="n"/>
    </row>
    <row r="68" ht="15" customHeight="1" s="40">
      <c r="B68" s="64" t="n"/>
      <c r="C68" s="64" t="n"/>
    </row>
  </sheetData>
  <sheetProtection selectLockedCells="0" selectUnlockedCells="0" sheet="1" objects="0" insertRows="1" insertHyperlinks="1" autoFilter="1" scenarios="0" formatColumns="1" deleteColumns="1" insertColumns="1" pivotTables="1" deleteRows="1" formatCells="1" formatRows="1" sort="1"/>
  <mergeCells count="24">
    <mergeCell ref="C41:H41"/>
    <mergeCell ref="C47:H47"/>
    <mergeCell ref="C50:H50"/>
    <mergeCell ref="C44:H44"/>
    <mergeCell ref="C40:H40"/>
    <mergeCell ref="B21:H24"/>
    <mergeCell ref="B55:H57"/>
    <mergeCell ref="C43:H43"/>
    <mergeCell ref="B27:H30"/>
    <mergeCell ref="C46:H46"/>
    <mergeCell ref="C51:H51"/>
    <mergeCell ref="C36:H36"/>
    <mergeCell ref="C48:H48"/>
    <mergeCell ref="B62:C68"/>
    <mergeCell ref="E62:H68"/>
    <mergeCell ref="C49:H49"/>
    <mergeCell ref="C34:H34"/>
    <mergeCell ref="B15:H18"/>
    <mergeCell ref="C33:H33"/>
    <mergeCell ref="C42:H42"/>
    <mergeCell ref="B8:H12"/>
    <mergeCell ref="C45:H45"/>
    <mergeCell ref="C35:H35"/>
    <mergeCell ref="B59:H60"/>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5161A"/>
    <outlinePr summaryBelow="1" summaryRight="1"/>
    <pageSetUpPr fitToPage="1"/>
  </sheetPr>
  <dimension ref="B2:H46"/>
  <sheetViews>
    <sheetView showGridLines="0" tabSelected="0" topLeftCell="A1" workbookViewId="0">
      <selection activeCell="A1" sqref="A1"/>
    </sheetView>
  </sheetViews>
  <sheetFormatPr baseColWidth="8" defaultRowHeight="15"/>
  <cols>
    <col width="2.5" customWidth="1" style="40" min="1" max="1"/>
    <col width="13" customWidth="1" style="40" min="2" max="2"/>
    <col width="13" customWidth="1" style="40" min="3" max="3"/>
    <col width="13" customWidth="1" style="40" min="4" max="4"/>
    <col width="13" customWidth="1" style="40" min="5" max="5"/>
    <col width="13" customWidth="1" style="40" min="6" max="6"/>
    <col width="13" customWidth="1" style="40" min="7" max="7"/>
    <col width="13" customWidth="1" style="40" min="8" max="8"/>
    <col width="2.5" customWidth="1" style="40" min="9" max="9"/>
  </cols>
  <sheetData>
    <row r="2" ht="44" customHeight="1" s="40">
      <c r="E2" s="41" t="inlineStr">
        <is>
          <t>THE NORWOOD FILES</t>
        </is>
      </c>
      <c r="H2" s="42" t="inlineStr">
        <is>
          <t>NF-CW4  ·  v2.0</t>
        </is>
      </c>
    </row>
    <row r="3" ht="6" customHeight="1" s="40">
      <c r="B3" s="43" t="n"/>
      <c r="C3" s="43" t="n"/>
      <c r="D3" s="43" t="n"/>
      <c r="E3" s="43" t="n"/>
      <c r="F3" s="43" t="n"/>
      <c r="G3" s="43" t="n"/>
      <c r="H3" s="43" t="n"/>
    </row>
    <row r="5" ht="30" customHeight="1" s="40">
      <c r="B5" s="53" t="inlineStr">
        <is>
          <t>LICENCE AND VERSION</t>
        </is>
      </c>
    </row>
    <row r="7" ht="20" customHeight="1" s="40">
      <c r="B7" s="54" t="inlineStr">
        <is>
          <t>PUBLICATION INFORMATION</t>
        </is>
      </c>
    </row>
    <row r="8" ht="19" customHeight="1" s="40">
      <c r="B8" s="66" t="inlineStr">
        <is>
          <t>PRODUCT</t>
        </is>
      </c>
      <c r="C8" s="49" t="n"/>
      <c r="D8" s="67" t="inlineStr">
        <is>
          <t>Official Companion Workbook</t>
        </is>
      </c>
      <c r="E8" s="49" t="n"/>
      <c r="F8" s="49" t="n"/>
      <c r="G8" s="49" t="n"/>
      <c r="H8" s="49" t="n"/>
    </row>
    <row r="9" ht="19" customHeight="1" s="40">
      <c r="B9" s="66" t="inlineStr">
        <is>
          <t>TITLE</t>
        </is>
      </c>
      <c r="C9" s="49" t="n"/>
      <c r="D9" s="67" t="inlineStr">
        <is>
          <t>The Norwood Files — Companion to Part Four</t>
        </is>
      </c>
      <c r="E9" s="49" t="n"/>
      <c r="F9" s="49" t="n"/>
      <c r="G9" s="49" t="n"/>
      <c r="H9" s="49" t="n"/>
    </row>
    <row r="10" ht="19" customHeight="1" s="40">
      <c r="B10" s="66" t="inlineStr">
        <is>
          <t>COMPANION TO</t>
        </is>
      </c>
      <c r="C10" s="49" t="n"/>
      <c r="D10" s="67" t="inlineStr">
        <is>
          <t>The Norwood Files</t>
        </is>
      </c>
      <c r="E10" s="49" t="n"/>
      <c r="F10" s="49" t="n"/>
      <c r="G10" s="49" t="n"/>
      <c r="H10" s="49" t="n"/>
    </row>
    <row r="11" ht="19" customHeight="1" s="40">
      <c r="B11" s="66" t="inlineStr">
        <is>
          <t>DOCUMENT CODE</t>
        </is>
      </c>
      <c r="C11" s="49" t="n"/>
      <c r="D11" s="67" t="inlineStr">
        <is>
          <t>NF-CW4</t>
        </is>
      </c>
      <c r="E11" s="49" t="n"/>
      <c r="F11" s="49" t="n"/>
      <c r="G11" s="49" t="n"/>
      <c r="H11" s="49" t="n"/>
    </row>
    <row r="12" ht="19" customHeight="1" s="40">
      <c r="B12" s="66" t="inlineStr">
        <is>
          <t>REVISION</t>
        </is>
      </c>
      <c r="C12" s="49" t="n"/>
      <c r="D12" s="67" t="inlineStr">
        <is>
          <t>v2.0</t>
        </is>
      </c>
      <c r="E12" s="49" t="n"/>
      <c r="F12" s="49" t="n"/>
      <c r="G12" s="49" t="n"/>
      <c r="H12" s="49" t="n"/>
    </row>
    <row r="13" ht="19" customHeight="1" s="40">
      <c r="B13" s="66" t="inlineStr">
        <is>
          <t>PUBLICATION VERSION</t>
        </is>
      </c>
      <c r="C13" s="49" t="n"/>
      <c r="D13" s="67" t="inlineStr">
        <is>
          <t>v2.0  ·  issued 29 August 2026</t>
        </is>
      </c>
      <c r="E13" s="49" t="n"/>
      <c r="F13" s="49" t="n"/>
      <c r="G13" s="49" t="n"/>
      <c r="H13" s="49" t="n"/>
    </row>
    <row r="14" ht="19" customHeight="1" s="40">
      <c r="B14" s="66" t="inlineStr">
        <is>
          <t>EDITION</t>
        </is>
      </c>
      <c r="C14" s="49" t="n"/>
      <c r="D14" s="67" t="inlineStr">
        <is>
          <t>Current to the 2026 edition of ISO 9001</t>
        </is>
      </c>
      <c r="E14" s="49" t="n"/>
      <c r="F14" s="49" t="n"/>
      <c r="G14" s="49" t="n"/>
      <c r="H14" s="49" t="n"/>
    </row>
    <row r="15" ht="19" customHeight="1" s="40">
      <c r="B15" s="66" t="inlineStr">
        <is>
          <t>EDITORIAL BASELINE</t>
        </is>
      </c>
      <c r="C15" s="49" t="n"/>
      <c r="D15" s="67" t="inlineStr">
        <is>
          <t>RC-Rev9</t>
        </is>
      </c>
      <c r="E15" s="49" t="n"/>
      <c r="F15" s="49" t="n"/>
      <c r="G15" s="49" t="n"/>
      <c r="H15" s="49" t="n"/>
    </row>
    <row r="16" ht="19" customHeight="1" s="40">
      <c r="B16" s="66" t="inlineStr">
        <is>
          <t>IDENTITY</t>
        </is>
      </c>
      <c r="C16" s="49" t="n"/>
      <c r="D16" s="67" t="inlineStr">
        <is>
          <t>Norwood Brand Standards Manual v1.0</t>
        </is>
      </c>
      <c r="E16" s="49" t="n"/>
      <c r="F16" s="49" t="n"/>
      <c r="G16" s="49" t="n"/>
      <c r="H16" s="49" t="n"/>
    </row>
    <row r="17" ht="19" customHeight="1" s="40">
      <c r="B17" s="66" t="inlineStr">
        <is>
          <t>AUTHOR</t>
        </is>
      </c>
      <c r="C17" s="49" t="n"/>
      <c r="D17" s="67" t="inlineStr">
        <is>
          <t>Dan Bleigh</t>
        </is>
      </c>
      <c r="E17" s="49" t="n"/>
      <c r="F17" s="49" t="n"/>
      <c r="G17" s="49" t="n"/>
      <c r="H17" s="49" t="n"/>
    </row>
    <row r="20" ht="20" customHeight="1" s="40">
      <c r="B20" s="54" t="inlineStr">
        <is>
          <t>REPOSITORY</t>
        </is>
      </c>
    </row>
    <row r="21" ht="16" customHeight="1" s="40">
      <c r="B21" s="54" t="inlineStr">
        <is>
          <t>‹ PH-01 · Companion download address — to be inserted before publication. NF-CIP §5. ›</t>
        </is>
      </c>
    </row>
    <row r="23" ht="20" customHeight="1" s="40">
      <c r="B23" s="54" t="inlineStr">
        <is>
          <t>TERMS OF USE</t>
        </is>
      </c>
    </row>
    <row r="24" ht="13" customHeight="1" s="40">
      <c r="B24" s="68" t="inlineStr">
        <is>
          <t>Copyright © 2026 Dan Bleigh. All rights reserved.</t>
        </is>
      </c>
    </row>
    <row r="25" ht="13" customHeight="1" s="40"/>
    <row r="27" ht="13" customHeight="1" s="40">
      <c r="B27" s="68" t="inlineStr">
        <is>
          <t>This workbook accompanies The Norwood Files and is supplied free of charge with the book. You may use it, adapt it and reproduce it inside your own organization for your own quality management system.</t>
        </is>
      </c>
    </row>
    <row r="28" ht="13" customHeight="1" s="40"/>
    <row r="29" ht="13" customHeight="1" s="40"/>
    <row r="31" ht="13" customHeight="1" s="40">
      <c r="B31" s="68" t="inlineStr">
        <is>
          <t>You may not resell it, redistribute it as your own work, or present it as a certified or accredited document.</t>
        </is>
      </c>
    </row>
    <row r="32" ht="13" customHeight="1" s="40"/>
    <row r="34" ht="13" customHeight="1" s="40">
      <c r="B34" s="68" t="inlineStr">
        <is>
          <t>The forms are offered as general professional guidance. They do not constitute legal, regulatory, safety or certification advice, and no warranty is given as to any particular audit outcome.</t>
        </is>
      </c>
    </row>
    <row r="35" ht="13" customHeight="1" s="40"/>
    <row r="36" ht="13" customHeight="1" s="40"/>
    <row r="38" ht="13" customHeight="1" s="40">
      <c r="B38" s="68" t="inlineStr">
        <is>
          <t>ISO 9001 is an International Standard published by the International Organization for Standardization. This workbook is independent commentary and is not published, endorsed, sponsored or authorized by ISO, by any national standards body, or by any certification or accreditation body.</t>
        </is>
      </c>
    </row>
    <row r="39" ht="13" customHeight="1" s="40"/>
    <row r="40" ht="13" customHeight="1" s="40"/>
    <row r="41" ht="13" customHeight="1" s="40"/>
    <row r="44">
      <c r="B44" s="49" t="n"/>
      <c r="C44" s="49" t="n"/>
      <c r="D44" s="49" t="n"/>
      <c r="E44" s="49" t="n"/>
      <c r="F44" s="49" t="n"/>
      <c r="G44" s="49" t="n"/>
      <c r="H44" s="49" t="n"/>
    </row>
    <row r="46">
      <c r="B46" s="69" t="inlineStr">
        <is>
          <t>Controlled document. Changes to this instrument follow the Norwood Brand Standards Manual Part XII and NF-ECP 4.6.</t>
        </is>
      </c>
    </row>
  </sheetData>
  <sheetProtection selectLockedCells="0" selectUnlockedCells="0" sheet="1" objects="0" insertRows="1" insertHyperlinks="1" autoFilter="1" scenarios="0" formatColumns="1" deleteColumns="1" insertColumns="1" pivotTables="1" deleteRows="1" formatCells="1" formatRows="1" sort="1"/>
  <mergeCells count="17">
    <mergeCell ref="B31:H32"/>
    <mergeCell ref="D12:H12"/>
    <mergeCell ref="B24:H25"/>
    <mergeCell ref="D8:H8"/>
    <mergeCell ref="D15:H15"/>
    <mergeCell ref="D16:H16"/>
    <mergeCell ref="D10:H10"/>
    <mergeCell ref="B21:H21"/>
    <mergeCell ref="D11:H11"/>
    <mergeCell ref="D13:H13"/>
    <mergeCell ref="B34:H36"/>
    <mergeCell ref="D14:H14"/>
    <mergeCell ref="B27:H29"/>
    <mergeCell ref="B38:H41"/>
    <mergeCell ref="D17:H17"/>
    <mergeCell ref="D9:H9"/>
    <mergeCell ref="B46:H46"/>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15161A"/>
    <outlinePr summaryBelow="1" summaryRight="1"/>
    <pageSetUpPr fitToPage="0"/>
  </sheetPr>
  <dimension ref="A1:C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70" min="1" max="1"/>
    <col width="96" customWidth="1" style="70" min="2" max="2"/>
  </cols>
  <sheetData>
    <row r="1" ht="25.5" customHeight="1" s="40">
      <c r="A1" s="71" t="inlineStr">
        <is>
          <t>THE NORWOOD FILES — PART FOUR COMPANION</t>
        </is>
      </c>
    </row>
    <row r="2" ht="15.75" customHeight="1" s="40">
      <c r="A2" s="72" t="inlineStr">
        <is>
          <t>The forms from Part Five. Free, no sign-up. Everything here is also printed in the book.</t>
        </is>
      </c>
    </row>
    <row r="3"/>
    <row r="4" ht="15" customHeight="1" s="40">
      <c r="A4" s="73" t="inlineStr">
        <is>
          <t>WHAT THIS IS</t>
        </is>
      </c>
    </row>
    <row r="5" ht="39" customHeight="1" s="40">
      <c r="B5" s="74" t="inlineStr">
        <is>
          <t>The supplier consequence ranking, assessment record, knowledge inventory, transfer verification tracker and transition gap analysis from Part Five, plus the three worked assessments from Part Four.</t>
        </is>
      </c>
    </row>
    <row r="6" ht="39" customHeight="1" s="40">
      <c r="B6" s="74" t="inlineStr">
        <is>
          <t>Nothing in the book depends on this file. Every form is printed in full and can be photocopied. This exists because a knowledge inventory kept on loose paper is lost with the person it describes.</t>
        </is>
      </c>
    </row>
    <row r="7" ht="15" customHeight="1" s="40">
      <c r="A7" s="73" t="inlineStr">
        <is>
          <t>ORDER OF WORK</t>
        </is>
      </c>
    </row>
    <row r="8" ht="39" customHeight="1" s="40">
      <c r="B8" s="74" t="inlineStr">
        <is>
          <t>1.  Fill 'Form 17 Supplier Ranking' first, and fill the consequence column before you look at the spend column. The order will not resemble your spend ranking. This is the only part of this file that changes what you do next week.</t>
        </is>
      </c>
    </row>
    <row r="9" ht="25.5" customHeight="1" s="40">
      <c r="B9" s="74" t="inlineStr">
        <is>
          <t>2.  Assess the top of that list on 'Form 18 Assessment'. Both percentages are mandatory fields—the sheet flags a row where either is missing.</t>
        </is>
      </c>
    </row>
    <row r="10" ht="25.5" customHeight="1" s="40">
      <c r="B10" s="74" t="inlineStr">
        <is>
          <t>3.  'Form 19 Knowledge Inventory' is one row per PERSON, not per role, and is filled in for everybody experienced rather than only for whoever is leaving.</t>
        </is>
      </c>
    </row>
    <row r="11" ht="25.5" customHeight="1" s="40">
      <c r="B11" s="74" t="inlineStr">
        <is>
          <t>4.  'Form 20 Transfer Tracker' takes how often the difficult event happens and the leaving date, and tells you how many chances you have. Under three, it turns red.</t>
        </is>
      </c>
    </row>
    <row r="12" ht="25.5" customHeight="1" s="40">
      <c r="B12" s="74" t="inlineStr">
        <is>
          <t>5.  'Form 21 Transition' has four verdicts and nothing else. If it will not fit on two printed pages you are writing a document rather than doing an analysis.</t>
        </is>
      </c>
    </row>
    <row r="13" ht="15" customHeight="1" s="40">
      <c r="A13" s="73" t="inlineStr">
        <is>
          <t>WHAT THE FILE ENFORCES</t>
        </is>
      </c>
    </row>
    <row r="14" ht="51.75" customHeight="1" s="40">
      <c r="B14" s="74" t="inlineStr">
        <is>
          <t>A critical supplier with no assessment date is flagged. An expired certificate is flagged, which is the defect Norwood carried for twenty-five months. A knowledge item marked for apprenticeship with nobody named to receive it is flagged. And a transfer with fewer than three chances before the leaving date is flagged, because two is not learning, two is luck.</t>
        </is>
      </c>
    </row>
    <row r="15" ht="15" customHeight="1" s="40">
      <c r="A15" s="73" t="inlineStr">
        <is>
          <t>CAPACITY</t>
        </is>
      </c>
    </row>
    <row r="16" ht="25.5" customHeight="1" s="40">
      <c r="B16" s="74" t="inlineStr">
        <is>
          <t>60 suppliers, 200 knowledge items. Formulas are in place on every row, so type into the next empty line and everything recalculates. Blank rows stay blank.</t>
        </is>
      </c>
    </row>
    <row r="17" ht="15" customHeight="1" s="40">
      <c r="A17" s="73" t="inlineStr">
        <is>
          <t>THE EXAMPLES</t>
        </is>
      </c>
    </row>
    <row r="18" ht="39" customHeight="1" s="40">
      <c r="B18" s="74" t="inlineStr">
        <is>
          <t>The three sheets prefixed EXAMPLE are the worked assessments from Part Four. Two of them end in a risk the plant decided to keep, which is the ordinary outcome of an honest assessment and almost never the outcome of a published one.</t>
        </is>
      </c>
    </row>
    <row r="19" ht="15" customHeight="1" s="40">
      <c r="A19" s="73" t="inlineStr">
        <is>
          <t>CELL COLORS</t>
        </is>
      </c>
    </row>
    <row r="20" ht="15" customHeight="1" s="40">
      <c r="B20" s="74" t="inlineStr">
        <is>
          <t>Blue text on cream = you type here.  Black bold = calculated, do not overwrite.</t>
        </is>
      </c>
    </row>
    <row r="21" ht="15" customHeight="1" s="40">
      <c r="A21" s="73" t="inlineStr">
        <is>
          <t>THE SILENT EXPIRY WEBSITE</t>
        </is>
      </c>
    </row>
    <row r="22" ht="39" customHeight="1" s="40">
      <c r="B22" s="74" t="inlineStr">
        <is>
          <t>Explore the complete framework: the canonical definition of Silent Expiry, the documented evidence behind it, and a fifty-two article curriculum. Free to read, nothing to sign up for.</t>
        </is>
      </c>
    </row>
    <row r="23" ht="15" customHeight="1" s="55">
      <c r="B23" s="74" t="inlineStr">
        <is>
          <t>https://silent-expiry.pages.dev/</t>
        </is>
      </c>
    </row>
    <row r="24"/>
    <row r="25" ht="15" customHeight="1" s="40">
      <c r="A25" s="75" t="inlineStr">
        <is>
          <t>The Norwood Files · Companion to Part Four · v2.0 · issued 29 August 2026 · matches the omnibus first edition (build RC-Rev9)</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H68"/>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70" min="1" max="1"/>
    <col width="24" customWidth="1" style="70" min="2" max="2"/>
    <col width="28" customWidth="1" style="70" min="3" max="3"/>
    <col width="14" customWidth="1" style="70" min="4" max="4"/>
    <col width="26" customWidth="1" style="70" min="5" max="5"/>
    <col width="17" customWidth="1" style="70" min="6" max="7"/>
    <col width="24" customWidth="1" style="70" min="8" max="8"/>
  </cols>
  <sheetData>
    <row r="1" ht="25.5" customHeight="1" s="40">
      <c r="A1" s="71" t="inlineStr">
        <is>
          <t>SUPPLIER RANKING BY CONSEQUENCE</t>
        </is>
      </c>
    </row>
    <row r="2" ht="15.75" customHeight="1" s="40">
      <c r="A2" s="72" t="inlineStr">
        <is>
          <t>Fill the consequence column before you look at the spend column. The order will surprise you.</t>
        </is>
      </c>
    </row>
    <row r="3"/>
    <row r="4" ht="30" customHeight="1" s="40">
      <c r="A4" s="76" t="inlineStr">
        <is>
          <t>Ref</t>
        </is>
      </c>
      <c r="B4" s="76" t="inlineStr">
        <is>
          <t>Supplier</t>
        </is>
      </c>
      <c r="C4" s="76" t="inlineStr">
        <is>
          <t>What they supply</t>
        </is>
      </c>
      <c r="D4" s="76" t="inlineStr">
        <is>
          <t>Annual spend</t>
        </is>
      </c>
      <c r="E4" s="76" t="inlineStr">
        <is>
          <t>How long could we ship without them?</t>
        </is>
      </c>
      <c r="F4" s="76" t="inlineStr">
        <is>
          <t>Last assessed on site</t>
        </is>
      </c>
      <c r="G4" s="76" t="inlineStr">
        <is>
          <t>Certificate expires</t>
        </is>
      </c>
      <c r="H4" s="76" t="inlineStr">
        <is>
          <t>Flag</t>
        </is>
      </c>
    </row>
    <row r="5" ht="30" customHeight="1" s="40">
      <c r="A5" s="77" t="n"/>
      <c r="B5" s="78" t="n"/>
      <c r="C5" s="78" t="n"/>
      <c r="D5" s="79" t="n"/>
      <c r="E5" s="77" t="n"/>
      <c r="F5" s="80" t="n"/>
      <c r="G5" s="80" t="n"/>
      <c r="H5" s="81">
        <f>IF(B5="","",IF(AND(ISNUMBER(G5),G5&lt;TODAY()),"CERTIFICATE EXPIRED",IF(AND(OR(E5="days",E5="2-4 weeks"),F5=""),"CRITICAL, NEVER ASSESSED",IF(AND(OR(E5="days",E5="2-4 weeks"),ISNUMBER(F5),F5&lt;EDATE(TODAY(),-36)),"ASSESSMENT OVER 3 YEARS OLD",""))))</f>
        <v/>
      </c>
    </row>
    <row r="6" ht="30" customHeight="1" s="40">
      <c r="A6" s="82" t="n"/>
      <c r="B6" s="83" t="n"/>
      <c r="C6" s="83" t="n"/>
      <c r="D6" s="84" t="n"/>
      <c r="E6" s="82" t="n"/>
      <c r="F6" s="85" t="n"/>
      <c r="G6" s="85" t="n"/>
      <c r="H6" s="81">
        <f>IF(B6="","",IF(AND(ISNUMBER(G6),G6&lt;TODAY()),"CERTIFICATE EXPIRED",IF(AND(OR(E6="days",E6="2-4 weeks"),F6=""),"CRITICAL, NEVER ASSESSED",IF(AND(OR(E6="days",E6="2-4 weeks"),ISNUMBER(F6),F6&lt;EDATE(TODAY(),-36)),"ASSESSMENT OVER 3 YEARS OLD",""))))</f>
        <v/>
      </c>
    </row>
    <row r="7" ht="30" customHeight="1" s="40">
      <c r="A7" s="77" t="n"/>
      <c r="B7" s="78" t="n"/>
      <c r="C7" s="78" t="n"/>
      <c r="D7" s="79" t="n"/>
      <c r="E7" s="77" t="n"/>
      <c r="F7" s="80" t="n"/>
      <c r="G7" s="80" t="n"/>
      <c r="H7" s="81">
        <f>IF(B7="","",IF(AND(ISNUMBER(G7),G7&lt;TODAY()),"CERTIFICATE EXPIRED",IF(AND(OR(E7="days",E7="2-4 weeks"),F7=""),"CRITICAL, NEVER ASSESSED",IF(AND(OR(E7="days",E7="2-4 weeks"),ISNUMBER(F7),F7&lt;EDATE(TODAY(),-36)),"ASSESSMENT OVER 3 YEARS OLD",""))))</f>
        <v/>
      </c>
    </row>
    <row r="8" ht="30" customHeight="1" s="40">
      <c r="A8" s="82" t="n"/>
      <c r="B8" s="83" t="n"/>
      <c r="C8" s="83" t="n"/>
      <c r="D8" s="84" t="n"/>
      <c r="E8" s="82" t="n"/>
      <c r="F8" s="85" t="n"/>
      <c r="G8" s="85" t="n"/>
      <c r="H8" s="81">
        <f>IF(B8="","",IF(AND(ISNUMBER(G8),G8&lt;TODAY()),"CERTIFICATE EXPIRED",IF(AND(OR(E8="days",E8="2-4 weeks"),F8=""),"CRITICAL, NEVER ASSESSED",IF(AND(OR(E8="days",E8="2-4 weeks"),ISNUMBER(F8),F8&lt;EDATE(TODAY(),-36)),"ASSESSMENT OVER 3 YEARS OLD",""))))</f>
        <v/>
      </c>
    </row>
    <row r="9" ht="30" customHeight="1" s="40">
      <c r="A9" s="77" t="n"/>
      <c r="B9" s="78" t="n"/>
      <c r="C9" s="78" t="n"/>
      <c r="D9" s="79" t="n"/>
      <c r="E9" s="77" t="n"/>
      <c r="F9" s="80" t="n"/>
      <c r="G9" s="80" t="n"/>
      <c r="H9" s="81">
        <f>IF(B9="","",IF(AND(ISNUMBER(G9),G9&lt;TODAY()),"CERTIFICATE EXPIRED",IF(AND(OR(E9="days",E9="2-4 weeks"),F9=""),"CRITICAL, NEVER ASSESSED",IF(AND(OR(E9="days",E9="2-4 weeks"),ISNUMBER(F9),F9&lt;EDATE(TODAY(),-36)),"ASSESSMENT OVER 3 YEARS OLD",""))))</f>
        <v/>
      </c>
    </row>
    <row r="10" ht="30" customHeight="1" s="40">
      <c r="A10" s="82" t="n"/>
      <c r="B10" s="83" t="n"/>
      <c r="C10" s="83" t="n"/>
      <c r="D10" s="84" t="n"/>
      <c r="E10" s="82" t="n"/>
      <c r="F10" s="85" t="n"/>
      <c r="G10" s="85" t="n"/>
      <c r="H10" s="81">
        <f>IF(B10="","",IF(AND(ISNUMBER(G10),G10&lt;TODAY()),"CERTIFICATE EXPIRED",IF(AND(OR(E10="days",E10="2-4 weeks"),F10=""),"CRITICAL, NEVER ASSESSED",IF(AND(OR(E10="days",E10="2-4 weeks"),ISNUMBER(F10),F10&lt;EDATE(TODAY(),-36)),"ASSESSMENT OVER 3 YEARS OLD",""))))</f>
        <v/>
      </c>
    </row>
    <row r="11" ht="30" customHeight="1" s="40">
      <c r="A11" s="77" t="n"/>
      <c r="B11" s="78" t="n"/>
      <c r="C11" s="78" t="n"/>
      <c r="D11" s="79" t="n"/>
      <c r="E11" s="77" t="n"/>
      <c r="F11" s="80" t="n"/>
      <c r="G11" s="80" t="n"/>
      <c r="H11" s="81">
        <f>IF(B11="","",IF(AND(ISNUMBER(G11),G11&lt;TODAY()),"CERTIFICATE EXPIRED",IF(AND(OR(E11="days",E11="2-4 weeks"),F11=""),"CRITICAL, NEVER ASSESSED",IF(AND(OR(E11="days",E11="2-4 weeks"),ISNUMBER(F11),F11&lt;EDATE(TODAY(),-36)),"ASSESSMENT OVER 3 YEARS OLD",""))))</f>
        <v/>
      </c>
    </row>
    <row r="12" ht="30" customHeight="1" s="40">
      <c r="A12" s="82" t="n"/>
      <c r="B12" s="83" t="n"/>
      <c r="C12" s="83" t="n"/>
      <c r="D12" s="84" t="n"/>
      <c r="E12" s="82" t="n"/>
      <c r="F12" s="85" t="n"/>
      <c r="G12" s="85" t="n"/>
      <c r="H12" s="81">
        <f>IF(B12="","",IF(AND(ISNUMBER(G12),G12&lt;TODAY()),"CERTIFICATE EXPIRED",IF(AND(OR(E12="days",E12="2-4 weeks"),F12=""),"CRITICAL, NEVER ASSESSED",IF(AND(OR(E12="days",E12="2-4 weeks"),ISNUMBER(F12),F12&lt;EDATE(TODAY(),-36)),"ASSESSMENT OVER 3 YEARS OLD",""))))</f>
        <v/>
      </c>
    </row>
    <row r="13" ht="30" customHeight="1" s="40">
      <c r="A13" s="77" t="n"/>
      <c r="B13" s="78" t="n"/>
      <c r="C13" s="78" t="n"/>
      <c r="D13" s="79" t="n"/>
      <c r="E13" s="77" t="n"/>
      <c r="F13" s="80" t="n"/>
      <c r="G13" s="80" t="n"/>
      <c r="H13" s="81">
        <f>IF(B13="","",IF(AND(ISNUMBER(G13),G13&lt;TODAY()),"CERTIFICATE EXPIRED",IF(AND(OR(E13="days",E13="2-4 weeks"),F13=""),"CRITICAL, NEVER ASSESSED",IF(AND(OR(E13="days",E13="2-4 weeks"),ISNUMBER(F13),F13&lt;EDATE(TODAY(),-36)),"ASSESSMENT OVER 3 YEARS OLD",""))))</f>
        <v/>
      </c>
    </row>
    <row r="14" ht="30" customHeight="1" s="40">
      <c r="A14" s="82" t="n"/>
      <c r="B14" s="83" t="n"/>
      <c r="C14" s="83" t="n"/>
      <c r="D14" s="84" t="n"/>
      <c r="E14" s="82" t="n"/>
      <c r="F14" s="85" t="n"/>
      <c r="G14" s="85" t="n"/>
      <c r="H14" s="81">
        <f>IF(B14="","",IF(AND(ISNUMBER(G14),G14&lt;TODAY()),"CERTIFICATE EXPIRED",IF(AND(OR(E14="days",E14="2-4 weeks"),F14=""),"CRITICAL, NEVER ASSESSED",IF(AND(OR(E14="days",E14="2-4 weeks"),ISNUMBER(F14),F14&lt;EDATE(TODAY(),-36)),"ASSESSMENT OVER 3 YEARS OLD",""))))</f>
        <v/>
      </c>
    </row>
    <row r="15" ht="30" customHeight="1" s="40">
      <c r="A15" s="77" t="n"/>
      <c r="B15" s="78" t="n"/>
      <c r="C15" s="78" t="n"/>
      <c r="D15" s="79" t="n"/>
      <c r="E15" s="77" t="n"/>
      <c r="F15" s="80" t="n"/>
      <c r="G15" s="80" t="n"/>
      <c r="H15" s="81">
        <f>IF(B15="","",IF(AND(ISNUMBER(G15),G15&lt;TODAY()),"CERTIFICATE EXPIRED",IF(AND(OR(E15="days",E15="2-4 weeks"),F15=""),"CRITICAL, NEVER ASSESSED",IF(AND(OR(E15="days",E15="2-4 weeks"),ISNUMBER(F15),F15&lt;EDATE(TODAY(),-36)),"ASSESSMENT OVER 3 YEARS OLD",""))))</f>
        <v/>
      </c>
    </row>
    <row r="16" ht="30" customHeight="1" s="40">
      <c r="A16" s="82" t="n"/>
      <c r="B16" s="83" t="n"/>
      <c r="C16" s="83" t="n"/>
      <c r="D16" s="84" t="n"/>
      <c r="E16" s="82" t="n"/>
      <c r="F16" s="85" t="n"/>
      <c r="G16" s="85" t="n"/>
      <c r="H16" s="81">
        <f>IF(B16="","",IF(AND(ISNUMBER(G16),G16&lt;TODAY()),"CERTIFICATE EXPIRED",IF(AND(OR(E16="days",E16="2-4 weeks"),F16=""),"CRITICAL, NEVER ASSESSED",IF(AND(OR(E16="days",E16="2-4 weeks"),ISNUMBER(F16),F16&lt;EDATE(TODAY(),-36)),"ASSESSMENT OVER 3 YEARS OLD",""))))</f>
        <v/>
      </c>
    </row>
    <row r="17" ht="30" customHeight="1" s="40">
      <c r="A17" s="77" t="n"/>
      <c r="B17" s="78" t="n"/>
      <c r="C17" s="78" t="n"/>
      <c r="D17" s="79" t="n"/>
      <c r="E17" s="77" t="n"/>
      <c r="F17" s="80" t="n"/>
      <c r="G17" s="80" t="n"/>
      <c r="H17" s="81">
        <f>IF(B17="","",IF(AND(ISNUMBER(G17),G17&lt;TODAY()),"CERTIFICATE EXPIRED",IF(AND(OR(E17="days",E17="2-4 weeks"),F17=""),"CRITICAL, NEVER ASSESSED",IF(AND(OR(E17="days",E17="2-4 weeks"),ISNUMBER(F17),F17&lt;EDATE(TODAY(),-36)),"ASSESSMENT OVER 3 YEARS OLD",""))))</f>
        <v/>
      </c>
    </row>
    <row r="18" ht="30" customHeight="1" s="40">
      <c r="A18" s="82" t="n"/>
      <c r="B18" s="83" t="n"/>
      <c r="C18" s="83" t="n"/>
      <c r="D18" s="84" t="n"/>
      <c r="E18" s="82" t="n"/>
      <c r="F18" s="85" t="n"/>
      <c r="G18" s="85" t="n"/>
      <c r="H18" s="81">
        <f>IF(B18="","",IF(AND(ISNUMBER(G18),G18&lt;TODAY()),"CERTIFICATE EXPIRED",IF(AND(OR(E18="days",E18="2-4 weeks"),F18=""),"CRITICAL, NEVER ASSESSED",IF(AND(OR(E18="days",E18="2-4 weeks"),ISNUMBER(F18),F18&lt;EDATE(TODAY(),-36)),"ASSESSMENT OVER 3 YEARS OLD",""))))</f>
        <v/>
      </c>
    </row>
    <row r="19" ht="30" customHeight="1" s="40">
      <c r="A19" s="77" t="n"/>
      <c r="B19" s="78" t="n"/>
      <c r="C19" s="78" t="n"/>
      <c r="D19" s="79" t="n"/>
      <c r="E19" s="77" t="n"/>
      <c r="F19" s="80" t="n"/>
      <c r="G19" s="80" t="n"/>
      <c r="H19" s="81">
        <f>IF(B19="","",IF(AND(ISNUMBER(G19),G19&lt;TODAY()),"CERTIFICATE EXPIRED",IF(AND(OR(E19="days",E19="2-4 weeks"),F19=""),"CRITICAL, NEVER ASSESSED",IF(AND(OR(E19="days",E19="2-4 weeks"),ISNUMBER(F19),F19&lt;EDATE(TODAY(),-36)),"ASSESSMENT OVER 3 YEARS OLD",""))))</f>
        <v/>
      </c>
    </row>
    <row r="20" ht="30" customHeight="1" s="40">
      <c r="A20" s="82" t="n"/>
      <c r="B20" s="83" t="n"/>
      <c r="C20" s="83" t="n"/>
      <c r="D20" s="84" t="n"/>
      <c r="E20" s="82" t="n"/>
      <c r="F20" s="85" t="n"/>
      <c r="G20" s="85" t="n"/>
      <c r="H20" s="81">
        <f>IF(B20="","",IF(AND(ISNUMBER(G20),G20&lt;TODAY()),"CERTIFICATE EXPIRED",IF(AND(OR(E20="days",E20="2-4 weeks"),F20=""),"CRITICAL, NEVER ASSESSED",IF(AND(OR(E20="days",E20="2-4 weeks"),ISNUMBER(F20),F20&lt;EDATE(TODAY(),-36)),"ASSESSMENT OVER 3 YEARS OLD",""))))</f>
        <v/>
      </c>
    </row>
    <row r="21" ht="30" customHeight="1" s="40">
      <c r="A21" s="77" t="n"/>
      <c r="B21" s="78" t="n"/>
      <c r="C21" s="78" t="n"/>
      <c r="D21" s="79" t="n"/>
      <c r="E21" s="77" t="n"/>
      <c r="F21" s="80" t="n"/>
      <c r="G21" s="80" t="n"/>
      <c r="H21" s="81">
        <f>IF(B21="","",IF(AND(ISNUMBER(G21),G21&lt;TODAY()),"CERTIFICATE EXPIRED",IF(AND(OR(E21="days",E21="2-4 weeks"),F21=""),"CRITICAL, NEVER ASSESSED",IF(AND(OR(E21="days",E21="2-4 weeks"),ISNUMBER(F21),F21&lt;EDATE(TODAY(),-36)),"ASSESSMENT OVER 3 YEARS OLD",""))))</f>
        <v/>
      </c>
    </row>
    <row r="22" ht="30" customHeight="1" s="40">
      <c r="A22" s="82" t="n"/>
      <c r="B22" s="83" t="n"/>
      <c r="C22" s="83" t="n"/>
      <c r="D22" s="84" t="n"/>
      <c r="E22" s="82" t="n"/>
      <c r="F22" s="85" t="n"/>
      <c r="G22" s="85" t="n"/>
      <c r="H22" s="81">
        <f>IF(B22="","",IF(AND(ISNUMBER(G22),G22&lt;TODAY()),"CERTIFICATE EXPIRED",IF(AND(OR(E22="days",E22="2-4 weeks"),F22=""),"CRITICAL, NEVER ASSESSED",IF(AND(OR(E22="days",E22="2-4 weeks"),ISNUMBER(F22),F22&lt;EDATE(TODAY(),-36)),"ASSESSMENT OVER 3 YEARS OLD",""))))</f>
        <v/>
      </c>
    </row>
    <row r="23" ht="30" customHeight="1" s="40">
      <c r="A23" s="77" t="n"/>
      <c r="B23" s="78" t="n"/>
      <c r="C23" s="78" t="n"/>
      <c r="D23" s="79" t="n"/>
      <c r="E23" s="77" t="n"/>
      <c r="F23" s="80" t="n"/>
      <c r="G23" s="80" t="n"/>
      <c r="H23" s="81">
        <f>IF(B23="","",IF(AND(ISNUMBER(G23),G23&lt;TODAY()),"CERTIFICATE EXPIRED",IF(AND(OR(E23="days",E23="2-4 weeks"),F23=""),"CRITICAL, NEVER ASSESSED",IF(AND(OR(E23="days",E23="2-4 weeks"),ISNUMBER(F23),F23&lt;EDATE(TODAY(),-36)),"ASSESSMENT OVER 3 YEARS OLD",""))))</f>
        <v/>
      </c>
    </row>
    <row r="24" ht="30" customHeight="1" s="40">
      <c r="A24" s="82" t="n"/>
      <c r="B24" s="83" t="n"/>
      <c r="C24" s="83" t="n"/>
      <c r="D24" s="84" t="n"/>
      <c r="E24" s="82" t="n"/>
      <c r="F24" s="85" t="n"/>
      <c r="G24" s="85" t="n"/>
      <c r="H24" s="81">
        <f>IF(B24="","",IF(AND(ISNUMBER(G24),G24&lt;TODAY()),"CERTIFICATE EXPIRED",IF(AND(OR(E24="days",E24="2-4 weeks"),F24=""),"CRITICAL, NEVER ASSESSED",IF(AND(OR(E24="days",E24="2-4 weeks"),ISNUMBER(F24),F24&lt;EDATE(TODAY(),-36)),"ASSESSMENT OVER 3 YEARS OLD",""))))</f>
        <v/>
      </c>
    </row>
    <row r="25" ht="30" customHeight="1" s="40">
      <c r="A25" s="77" t="n"/>
      <c r="B25" s="78" t="n"/>
      <c r="C25" s="78" t="n"/>
      <c r="D25" s="79" t="n"/>
      <c r="E25" s="77" t="n"/>
      <c r="F25" s="80" t="n"/>
      <c r="G25" s="80" t="n"/>
      <c r="H25" s="81">
        <f>IF(B25="","",IF(AND(ISNUMBER(G25),G25&lt;TODAY()),"CERTIFICATE EXPIRED",IF(AND(OR(E25="days",E25="2-4 weeks"),F25=""),"CRITICAL, NEVER ASSESSED",IF(AND(OR(E25="days",E25="2-4 weeks"),ISNUMBER(F25),F25&lt;EDATE(TODAY(),-36)),"ASSESSMENT OVER 3 YEARS OLD",""))))</f>
        <v/>
      </c>
    </row>
    <row r="26" ht="30" customHeight="1" s="40">
      <c r="A26" s="82" t="n"/>
      <c r="B26" s="83" t="n"/>
      <c r="C26" s="83" t="n"/>
      <c r="D26" s="84" t="n"/>
      <c r="E26" s="82" t="n"/>
      <c r="F26" s="85" t="n"/>
      <c r="G26" s="85" t="n"/>
      <c r="H26" s="81">
        <f>IF(B26="","",IF(AND(ISNUMBER(G26),G26&lt;TODAY()),"CERTIFICATE EXPIRED",IF(AND(OR(E26="days",E26="2-4 weeks"),F26=""),"CRITICAL, NEVER ASSESSED",IF(AND(OR(E26="days",E26="2-4 weeks"),ISNUMBER(F26),F26&lt;EDATE(TODAY(),-36)),"ASSESSMENT OVER 3 YEARS OLD",""))))</f>
        <v/>
      </c>
    </row>
    <row r="27" ht="30" customHeight="1" s="40">
      <c r="A27" s="77" t="n"/>
      <c r="B27" s="78" t="n"/>
      <c r="C27" s="78" t="n"/>
      <c r="D27" s="79" t="n"/>
      <c r="E27" s="77" t="n"/>
      <c r="F27" s="80" t="n"/>
      <c r="G27" s="80" t="n"/>
      <c r="H27" s="81">
        <f>IF(B27="","",IF(AND(ISNUMBER(G27),G27&lt;TODAY()),"CERTIFICATE EXPIRED",IF(AND(OR(E27="days",E27="2-4 weeks"),F27=""),"CRITICAL, NEVER ASSESSED",IF(AND(OR(E27="days",E27="2-4 weeks"),ISNUMBER(F27),F27&lt;EDATE(TODAY(),-36)),"ASSESSMENT OVER 3 YEARS OLD",""))))</f>
        <v/>
      </c>
    </row>
    <row r="28" ht="30" customHeight="1" s="40">
      <c r="A28" s="82" t="n"/>
      <c r="B28" s="83" t="n"/>
      <c r="C28" s="83" t="n"/>
      <c r="D28" s="84" t="n"/>
      <c r="E28" s="82" t="n"/>
      <c r="F28" s="85" t="n"/>
      <c r="G28" s="85" t="n"/>
      <c r="H28" s="81">
        <f>IF(B28="","",IF(AND(ISNUMBER(G28),G28&lt;TODAY()),"CERTIFICATE EXPIRED",IF(AND(OR(E28="days",E28="2-4 weeks"),F28=""),"CRITICAL, NEVER ASSESSED",IF(AND(OR(E28="days",E28="2-4 weeks"),ISNUMBER(F28),F28&lt;EDATE(TODAY(),-36)),"ASSESSMENT OVER 3 YEARS OLD",""))))</f>
        <v/>
      </c>
    </row>
    <row r="29" ht="30" customHeight="1" s="40">
      <c r="A29" s="77" t="n"/>
      <c r="B29" s="78" t="n"/>
      <c r="C29" s="78" t="n"/>
      <c r="D29" s="79" t="n"/>
      <c r="E29" s="77" t="n"/>
      <c r="F29" s="80" t="n"/>
      <c r="G29" s="80" t="n"/>
      <c r="H29" s="81">
        <f>IF(B29="","",IF(AND(ISNUMBER(G29),G29&lt;TODAY()),"CERTIFICATE EXPIRED",IF(AND(OR(E29="days",E29="2-4 weeks"),F29=""),"CRITICAL, NEVER ASSESSED",IF(AND(OR(E29="days",E29="2-4 weeks"),ISNUMBER(F29),F29&lt;EDATE(TODAY(),-36)),"ASSESSMENT OVER 3 YEARS OLD",""))))</f>
        <v/>
      </c>
    </row>
    <row r="30" ht="30" customHeight="1" s="40">
      <c r="A30" s="82" t="n"/>
      <c r="B30" s="83" t="n"/>
      <c r="C30" s="83" t="n"/>
      <c r="D30" s="84" t="n"/>
      <c r="E30" s="82" t="n"/>
      <c r="F30" s="85" t="n"/>
      <c r="G30" s="85" t="n"/>
      <c r="H30" s="81">
        <f>IF(B30="","",IF(AND(ISNUMBER(G30),G30&lt;TODAY()),"CERTIFICATE EXPIRED",IF(AND(OR(E30="days",E30="2-4 weeks"),F30=""),"CRITICAL, NEVER ASSESSED",IF(AND(OR(E30="days",E30="2-4 weeks"),ISNUMBER(F30),F30&lt;EDATE(TODAY(),-36)),"ASSESSMENT OVER 3 YEARS OLD",""))))</f>
        <v/>
      </c>
    </row>
    <row r="31" ht="30" customHeight="1" s="40">
      <c r="A31" s="77" t="n"/>
      <c r="B31" s="78" t="n"/>
      <c r="C31" s="78" t="n"/>
      <c r="D31" s="79" t="n"/>
      <c r="E31" s="77" t="n"/>
      <c r="F31" s="80" t="n"/>
      <c r="G31" s="80" t="n"/>
      <c r="H31" s="81">
        <f>IF(B31="","",IF(AND(ISNUMBER(G31),G31&lt;TODAY()),"CERTIFICATE EXPIRED",IF(AND(OR(E31="days",E31="2-4 weeks"),F31=""),"CRITICAL, NEVER ASSESSED",IF(AND(OR(E31="days",E31="2-4 weeks"),ISNUMBER(F31),F31&lt;EDATE(TODAY(),-36)),"ASSESSMENT OVER 3 YEARS OLD",""))))</f>
        <v/>
      </c>
    </row>
    <row r="32" ht="30" customHeight="1" s="40">
      <c r="A32" s="82" t="n"/>
      <c r="B32" s="83" t="n"/>
      <c r="C32" s="83" t="n"/>
      <c r="D32" s="84" t="n"/>
      <c r="E32" s="82" t="n"/>
      <c r="F32" s="85" t="n"/>
      <c r="G32" s="85" t="n"/>
      <c r="H32" s="81">
        <f>IF(B32="","",IF(AND(ISNUMBER(G32),G32&lt;TODAY()),"CERTIFICATE EXPIRED",IF(AND(OR(E32="days",E32="2-4 weeks"),F32=""),"CRITICAL, NEVER ASSESSED",IF(AND(OR(E32="days",E32="2-4 weeks"),ISNUMBER(F32),F32&lt;EDATE(TODAY(),-36)),"ASSESSMENT OVER 3 YEARS OLD",""))))</f>
        <v/>
      </c>
    </row>
    <row r="33" ht="30" customHeight="1" s="40">
      <c r="A33" s="77" t="n"/>
      <c r="B33" s="78" t="n"/>
      <c r="C33" s="78" t="n"/>
      <c r="D33" s="79" t="n"/>
      <c r="E33" s="77" t="n"/>
      <c r="F33" s="80" t="n"/>
      <c r="G33" s="80" t="n"/>
      <c r="H33" s="81">
        <f>IF(B33="","",IF(AND(ISNUMBER(G33),G33&lt;TODAY()),"CERTIFICATE EXPIRED",IF(AND(OR(E33="days",E33="2-4 weeks"),F33=""),"CRITICAL, NEVER ASSESSED",IF(AND(OR(E33="days",E33="2-4 weeks"),ISNUMBER(F33),F33&lt;EDATE(TODAY(),-36)),"ASSESSMENT OVER 3 YEARS OLD",""))))</f>
        <v/>
      </c>
    </row>
    <row r="34" ht="30" customHeight="1" s="40">
      <c r="A34" s="82" t="n"/>
      <c r="B34" s="83" t="n"/>
      <c r="C34" s="83" t="n"/>
      <c r="D34" s="84" t="n"/>
      <c r="E34" s="82" t="n"/>
      <c r="F34" s="85" t="n"/>
      <c r="G34" s="85" t="n"/>
      <c r="H34" s="81">
        <f>IF(B34="","",IF(AND(ISNUMBER(G34),G34&lt;TODAY()),"CERTIFICATE EXPIRED",IF(AND(OR(E34="days",E34="2-4 weeks"),F34=""),"CRITICAL, NEVER ASSESSED",IF(AND(OR(E34="days",E34="2-4 weeks"),ISNUMBER(F34),F34&lt;EDATE(TODAY(),-36)),"ASSESSMENT OVER 3 YEARS OLD",""))))</f>
        <v/>
      </c>
    </row>
    <row r="35" ht="30" customHeight="1" s="40">
      <c r="A35" s="77" t="n"/>
      <c r="B35" s="78" t="n"/>
      <c r="C35" s="78" t="n"/>
      <c r="D35" s="79" t="n"/>
      <c r="E35" s="77" t="n"/>
      <c r="F35" s="80" t="n"/>
      <c r="G35" s="80" t="n"/>
      <c r="H35" s="81">
        <f>IF(B35="","",IF(AND(ISNUMBER(G35),G35&lt;TODAY()),"CERTIFICATE EXPIRED",IF(AND(OR(E35="days",E35="2-4 weeks"),F35=""),"CRITICAL, NEVER ASSESSED",IF(AND(OR(E35="days",E35="2-4 weeks"),ISNUMBER(F35),F35&lt;EDATE(TODAY(),-36)),"ASSESSMENT OVER 3 YEARS OLD",""))))</f>
        <v/>
      </c>
    </row>
    <row r="36" ht="30" customHeight="1" s="40">
      <c r="A36" s="82" t="n"/>
      <c r="B36" s="83" t="n"/>
      <c r="C36" s="83" t="n"/>
      <c r="D36" s="84" t="n"/>
      <c r="E36" s="82" t="n"/>
      <c r="F36" s="85" t="n"/>
      <c r="G36" s="85" t="n"/>
      <c r="H36" s="81">
        <f>IF(B36="","",IF(AND(ISNUMBER(G36),G36&lt;TODAY()),"CERTIFICATE EXPIRED",IF(AND(OR(E36="days",E36="2-4 weeks"),F36=""),"CRITICAL, NEVER ASSESSED",IF(AND(OR(E36="days",E36="2-4 weeks"),ISNUMBER(F36),F36&lt;EDATE(TODAY(),-36)),"ASSESSMENT OVER 3 YEARS OLD",""))))</f>
        <v/>
      </c>
    </row>
    <row r="37" ht="30" customHeight="1" s="40">
      <c r="A37" s="77" t="n"/>
      <c r="B37" s="78" t="n"/>
      <c r="C37" s="78" t="n"/>
      <c r="D37" s="79" t="n"/>
      <c r="E37" s="77" t="n"/>
      <c r="F37" s="80" t="n"/>
      <c r="G37" s="80" t="n"/>
      <c r="H37" s="81">
        <f>IF(B37="","",IF(AND(ISNUMBER(G37),G37&lt;TODAY()),"CERTIFICATE EXPIRED",IF(AND(OR(E37="days",E37="2-4 weeks"),F37=""),"CRITICAL, NEVER ASSESSED",IF(AND(OR(E37="days",E37="2-4 weeks"),ISNUMBER(F37),F37&lt;EDATE(TODAY(),-36)),"ASSESSMENT OVER 3 YEARS OLD",""))))</f>
        <v/>
      </c>
    </row>
    <row r="38" ht="30" customHeight="1" s="40">
      <c r="A38" s="82" t="n"/>
      <c r="B38" s="83" t="n"/>
      <c r="C38" s="83" t="n"/>
      <c r="D38" s="84" t="n"/>
      <c r="E38" s="82" t="n"/>
      <c r="F38" s="85" t="n"/>
      <c r="G38" s="85" t="n"/>
      <c r="H38" s="81">
        <f>IF(B38="","",IF(AND(ISNUMBER(G38),G38&lt;TODAY()),"CERTIFICATE EXPIRED",IF(AND(OR(E38="days",E38="2-4 weeks"),F38=""),"CRITICAL, NEVER ASSESSED",IF(AND(OR(E38="days",E38="2-4 weeks"),ISNUMBER(F38),F38&lt;EDATE(TODAY(),-36)),"ASSESSMENT OVER 3 YEARS OLD",""))))</f>
        <v/>
      </c>
    </row>
    <row r="39" ht="30" customHeight="1" s="40">
      <c r="A39" s="77" t="n"/>
      <c r="B39" s="78" t="n"/>
      <c r="C39" s="78" t="n"/>
      <c r="D39" s="79" t="n"/>
      <c r="E39" s="77" t="n"/>
      <c r="F39" s="80" t="n"/>
      <c r="G39" s="80" t="n"/>
      <c r="H39" s="81">
        <f>IF(B39="","",IF(AND(ISNUMBER(G39),G39&lt;TODAY()),"CERTIFICATE EXPIRED",IF(AND(OR(E39="days",E39="2-4 weeks"),F39=""),"CRITICAL, NEVER ASSESSED",IF(AND(OR(E39="days",E39="2-4 weeks"),ISNUMBER(F39),F39&lt;EDATE(TODAY(),-36)),"ASSESSMENT OVER 3 YEARS OLD",""))))</f>
        <v/>
      </c>
    </row>
    <row r="40" ht="30" customHeight="1" s="40">
      <c r="A40" s="82" t="n"/>
      <c r="B40" s="83" t="n"/>
      <c r="C40" s="83" t="n"/>
      <c r="D40" s="84" t="n"/>
      <c r="E40" s="82" t="n"/>
      <c r="F40" s="85" t="n"/>
      <c r="G40" s="85" t="n"/>
      <c r="H40" s="81">
        <f>IF(B40="","",IF(AND(ISNUMBER(G40),G40&lt;TODAY()),"CERTIFICATE EXPIRED",IF(AND(OR(E40="days",E40="2-4 weeks"),F40=""),"CRITICAL, NEVER ASSESSED",IF(AND(OR(E40="days",E40="2-4 weeks"),ISNUMBER(F40),F40&lt;EDATE(TODAY(),-36)),"ASSESSMENT OVER 3 YEARS OLD",""))))</f>
        <v/>
      </c>
    </row>
    <row r="41" ht="30" customHeight="1" s="40">
      <c r="A41" s="77" t="n"/>
      <c r="B41" s="78" t="n"/>
      <c r="C41" s="78" t="n"/>
      <c r="D41" s="79" t="n"/>
      <c r="E41" s="77" t="n"/>
      <c r="F41" s="80" t="n"/>
      <c r="G41" s="80" t="n"/>
      <c r="H41" s="81">
        <f>IF(B41="","",IF(AND(ISNUMBER(G41),G41&lt;TODAY()),"CERTIFICATE EXPIRED",IF(AND(OR(E41="days",E41="2-4 weeks"),F41=""),"CRITICAL, NEVER ASSESSED",IF(AND(OR(E41="days",E41="2-4 weeks"),ISNUMBER(F41),F41&lt;EDATE(TODAY(),-36)),"ASSESSMENT OVER 3 YEARS OLD",""))))</f>
        <v/>
      </c>
    </row>
    <row r="42" ht="30" customHeight="1" s="40">
      <c r="A42" s="82" t="n"/>
      <c r="B42" s="83" t="n"/>
      <c r="C42" s="83" t="n"/>
      <c r="D42" s="84" t="n"/>
      <c r="E42" s="82" t="n"/>
      <c r="F42" s="85" t="n"/>
      <c r="G42" s="85" t="n"/>
      <c r="H42" s="81">
        <f>IF(B42="","",IF(AND(ISNUMBER(G42),G42&lt;TODAY()),"CERTIFICATE EXPIRED",IF(AND(OR(E42="days",E42="2-4 weeks"),F42=""),"CRITICAL, NEVER ASSESSED",IF(AND(OR(E42="days",E42="2-4 weeks"),ISNUMBER(F42),F42&lt;EDATE(TODAY(),-36)),"ASSESSMENT OVER 3 YEARS OLD",""))))</f>
        <v/>
      </c>
    </row>
    <row r="43" ht="30" customHeight="1" s="40">
      <c r="A43" s="77" t="n"/>
      <c r="B43" s="78" t="n"/>
      <c r="C43" s="78" t="n"/>
      <c r="D43" s="79" t="n"/>
      <c r="E43" s="77" t="n"/>
      <c r="F43" s="80" t="n"/>
      <c r="G43" s="80" t="n"/>
      <c r="H43" s="81">
        <f>IF(B43="","",IF(AND(ISNUMBER(G43),G43&lt;TODAY()),"CERTIFICATE EXPIRED",IF(AND(OR(E43="days",E43="2-4 weeks"),F43=""),"CRITICAL, NEVER ASSESSED",IF(AND(OR(E43="days",E43="2-4 weeks"),ISNUMBER(F43),F43&lt;EDATE(TODAY(),-36)),"ASSESSMENT OVER 3 YEARS OLD",""))))</f>
        <v/>
      </c>
    </row>
    <row r="44" ht="30" customHeight="1" s="40">
      <c r="A44" s="82" t="n"/>
      <c r="B44" s="83" t="n"/>
      <c r="C44" s="83" t="n"/>
      <c r="D44" s="84" t="n"/>
      <c r="E44" s="82" t="n"/>
      <c r="F44" s="85" t="n"/>
      <c r="G44" s="85" t="n"/>
      <c r="H44" s="81">
        <f>IF(B44="","",IF(AND(ISNUMBER(G44),G44&lt;TODAY()),"CERTIFICATE EXPIRED",IF(AND(OR(E44="days",E44="2-4 weeks"),F44=""),"CRITICAL, NEVER ASSESSED",IF(AND(OR(E44="days",E44="2-4 weeks"),ISNUMBER(F44),F44&lt;EDATE(TODAY(),-36)),"ASSESSMENT OVER 3 YEARS OLD",""))))</f>
        <v/>
      </c>
    </row>
    <row r="45" ht="30" customHeight="1" s="40">
      <c r="A45" s="77" t="n"/>
      <c r="B45" s="78" t="n"/>
      <c r="C45" s="78" t="n"/>
      <c r="D45" s="79" t="n"/>
      <c r="E45" s="77" t="n"/>
      <c r="F45" s="80" t="n"/>
      <c r="G45" s="80" t="n"/>
      <c r="H45" s="81">
        <f>IF(B45="","",IF(AND(ISNUMBER(G45),G45&lt;TODAY()),"CERTIFICATE EXPIRED",IF(AND(OR(E45="days",E45="2-4 weeks"),F45=""),"CRITICAL, NEVER ASSESSED",IF(AND(OR(E45="days",E45="2-4 weeks"),ISNUMBER(F45),F45&lt;EDATE(TODAY(),-36)),"ASSESSMENT OVER 3 YEARS OLD",""))))</f>
        <v/>
      </c>
    </row>
    <row r="46" ht="30" customHeight="1" s="40">
      <c r="A46" s="82" t="n"/>
      <c r="B46" s="83" t="n"/>
      <c r="C46" s="83" t="n"/>
      <c r="D46" s="84" t="n"/>
      <c r="E46" s="82" t="n"/>
      <c r="F46" s="85" t="n"/>
      <c r="G46" s="85" t="n"/>
      <c r="H46" s="81">
        <f>IF(B46="","",IF(AND(ISNUMBER(G46),G46&lt;TODAY()),"CERTIFICATE EXPIRED",IF(AND(OR(E46="days",E46="2-4 weeks"),F46=""),"CRITICAL, NEVER ASSESSED",IF(AND(OR(E46="days",E46="2-4 weeks"),ISNUMBER(F46),F46&lt;EDATE(TODAY(),-36)),"ASSESSMENT OVER 3 YEARS OLD",""))))</f>
        <v/>
      </c>
    </row>
    <row r="47" ht="30" customHeight="1" s="40">
      <c r="A47" s="77" t="n"/>
      <c r="B47" s="78" t="n"/>
      <c r="C47" s="78" t="n"/>
      <c r="D47" s="79" t="n"/>
      <c r="E47" s="77" t="n"/>
      <c r="F47" s="80" t="n"/>
      <c r="G47" s="80" t="n"/>
      <c r="H47" s="81">
        <f>IF(B47="","",IF(AND(ISNUMBER(G47),G47&lt;TODAY()),"CERTIFICATE EXPIRED",IF(AND(OR(E47="days",E47="2-4 weeks"),F47=""),"CRITICAL, NEVER ASSESSED",IF(AND(OR(E47="days",E47="2-4 weeks"),ISNUMBER(F47),F47&lt;EDATE(TODAY(),-36)),"ASSESSMENT OVER 3 YEARS OLD",""))))</f>
        <v/>
      </c>
    </row>
    <row r="48" ht="30" customHeight="1" s="40">
      <c r="A48" s="82" t="n"/>
      <c r="B48" s="83" t="n"/>
      <c r="C48" s="83" t="n"/>
      <c r="D48" s="84" t="n"/>
      <c r="E48" s="82" t="n"/>
      <c r="F48" s="85" t="n"/>
      <c r="G48" s="85" t="n"/>
      <c r="H48" s="81">
        <f>IF(B48="","",IF(AND(ISNUMBER(G48),G48&lt;TODAY()),"CERTIFICATE EXPIRED",IF(AND(OR(E48="days",E48="2-4 weeks"),F48=""),"CRITICAL, NEVER ASSESSED",IF(AND(OR(E48="days",E48="2-4 weeks"),ISNUMBER(F48),F48&lt;EDATE(TODAY(),-36)),"ASSESSMENT OVER 3 YEARS OLD",""))))</f>
        <v/>
      </c>
    </row>
    <row r="49" ht="30" customHeight="1" s="40">
      <c r="A49" s="77" t="n"/>
      <c r="B49" s="78" t="n"/>
      <c r="C49" s="78" t="n"/>
      <c r="D49" s="79" t="n"/>
      <c r="E49" s="77" t="n"/>
      <c r="F49" s="80" t="n"/>
      <c r="G49" s="80" t="n"/>
      <c r="H49" s="81">
        <f>IF(B49="","",IF(AND(ISNUMBER(G49),G49&lt;TODAY()),"CERTIFICATE EXPIRED",IF(AND(OR(E49="days",E49="2-4 weeks"),F49=""),"CRITICAL, NEVER ASSESSED",IF(AND(OR(E49="days",E49="2-4 weeks"),ISNUMBER(F49),F49&lt;EDATE(TODAY(),-36)),"ASSESSMENT OVER 3 YEARS OLD",""))))</f>
        <v/>
      </c>
    </row>
    <row r="50" ht="30" customHeight="1" s="40">
      <c r="A50" s="82" t="n"/>
      <c r="B50" s="83" t="n"/>
      <c r="C50" s="83" t="n"/>
      <c r="D50" s="84" t="n"/>
      <c r="E50" s="82" t="n"/>
      <c r="F50" s="85" t="n"/>
      <c r="G50" s="85" t="n"/>
      <c r="H50" s="81">
        <f>IF(B50="","",IF(AND(ISNUMBER(G50),G50&lt;TODAY()),"CERTIFICATE EXPIRED",IF(AND(OR(E50="days",E50="2-4 weeks"),F50=""),"CRITICAL, NEVER ASSESSED",IF(AND(OR(E50="days",E50="2-4 weeks"),ISNUMBER(F50),F50&lt;EDATE(TODAY(),-36)),"ASSESSMENT OVER 3 YEARS OLD",""))))</f>
        <v/>
      </c>
    </row>
    <row r="51" ht="30" customHeight="1" s="40">
      <c r="A51" s="77" t="n"/>
      <c r="B51" s="78" t="n"/>
      <c r="C51" s="78" t="n"/>
      <c r="D51" s="79" t="n"/>
      <c r="E51" s="77" t="n"/>
      <c r="F51" s="80" t="n"/>
      <c r="G51" s="80" t="n"/>
      <c r="H51" s="81">
        <f>IF(B51="","",IF(AND(ISNUMBER(G51),G51&lt;TODAY()),"CERTIFICATE EXPIRED",IF(AND(OR(E51="days",E51="2-4 weeks"),F51=""),"CRITICAL, NEVER ASSESSED",IF(AND(OR(E51="days",E51="2-4 weeks"),ISNUMBER(F51),F51&lt;EDATE(TODAY(),-36)),"ASSESSMENT OVER 3 YEARS OLD",""))))</f>
        <v/>
      </c>
    </row>
    <row r="52" ht="30" customHeight="1" s="40">
      <c r="A52" s="82" t="n"/>
      <c r="B52" s="83" t="n"/>
      <c r="C52" s="83" t="n"/>
      <c r="D52" s="84" t="n"/>
      <c r="E52" s="82" t="n"/>
      <c r="F52" s="85" t="n"/>
      <c r="G52" s="85" t="n"/>
      <c r="H52" s="81">
        <f>IF(B52="","",IF(AND(ISNUMBER(G52),G52&lt;TODAY()),"CERTIFICATE EXPIRED",IF(AND(OR(E52="days",E52="2-4 weeks"),F52=""),"CRITICAL, NEVER ASSESSED",IF(AND(OR(E52="days",E52="2-4 weeks"),ISNUMBER(F52),F52&lt;EDATE(TODAY(),-36)),"ASSESSMENT OVER 3 YEARS OLD",""))))</f>
        <v/>
      </c>
    </row>
    <row r="53" ht="30" customHeight="1" s="40">
      <c r="A53" s="77" t="n"/>
      <c r="B53" s="78" t="n"/>
      <c r="C53" s="78" t="n"/>
      <c r="D53" s="79" t="n"/>
      <c r="E53" s="77" t="n"/>
      <c r="F53" s="80" t="n"/>
      <c r="G53" s="80" t="n"/>
      <c r="H53" s="81">
        <f>IF(B53="","",IF(AND(ISNUMBER(G53),G53&lt;TODAY()),"CERTIFICATE EXPIRED",IF(AND(OR(E53="days",E53="2-4 weeks"),F53=""),"CRITICAL, NEVER ASSESSED",IF(AND(OR(E53="days",E53="2-4 weeks"),ISNUMBER(F53),F53&lt;EDATE(TODAY(),-36)),"ASSESSMENT OVER 3 YEARS OLD",""))))</f>
        <v/>
      </c>
    </row>
    <row r="54" ht="30" customHeight="1" s="40">
      <c r="A54" s="82" t="n"/>
      <c r="B54" s="83" t="n"/>
      <c r="C54" s="83" t="n"/>
      <c r="D54" s="84" t="n"/>
      <c r="E54" s="82" t="n"/>
      <c r="F54" s="85" t="n"/>
      <c r="G54" s="85" t="n"/>
      <c r="H54" s="81">
        <f>IF(B54="","",IF(AND(ISNUMBER(G54),G54&lt;TODAY()),"CERTIFICATE EXPIRED",IF(AND(OR(E54="days",E54="2-4 weeks"),F54=""),"CRITICAL, NEVER ASSESSED",IF(AND(OR(E54="days",E54="2-4 weeks"),ISNUMBER(F54),F54&lt;EDATE(TODAY(),-36)),"ASSESSMENT OVER 3 YEARS OLD",""))))</f>
        <v/>
      </c>
    </row>
    <row r="55" ht="30" customHeight="1" s="40">
      <c r="A55" s="77" t="n"/>
      <c r="B55" s="78" t="n"/>
      <c r="C55" s="78" t="n"/>
      <c r="D55" s="79" t="n"/>
      <c r="E55" s="77" t="n"/>
      <c r="F55" s="80" t="n"/>
      <c r="G55" s="80" t="n"/>
      <c r="H55" s="81">
        <f>IF(B55="","",IF(AND(ISNUMBER(G55),G55&lt;TODAY()),"CERTIFICATE EXPIRED",IF(AND(OR(E55="days",E55="2-4 weeks"),F55=""),"CRITICAL, NEVER ASSESSED",IF(AND(OR(E55="days",E55="2-4 weeks"),ISNUMBER(F55),F55&lt;EDATE(TODAY(),-36)),"ASSESSMENT OVER 3 YEARS OLD",""))))</f>
        <v/>
      </c>
    </row>
    <row r="56" ht="30" customHeight="1" s="40">
      <c r="A56" s="82" t="n"/>
      <c r="B56" s="83" t="n"/>
      <c r="C56" s="83" t="n"/>
      <c r="D56" s="84" t="n"/>
      <c r="E56" s="82" t="n"/>
      <c r="F56" s="85" t="n"/>
      <c r="G56" s="85" t="n"/>
      <c r="H56" s="81">
        <f>IF(B56="","",IF(AND(ISNUMBER(G56),G56&lt;TODAY()),"CERTIFICATE EXPIRED",IF(AND(OR(E56="days",E56="2-4 weeks"),F56=""),"CRITICAL, NEVER ASSESSED",IF(AND(OR(E56="days",E56="2-4 weeks"),ISNUMBER(F56),F56&lt;EDATE(TODAY(),-36)),"ASSESSMENT OVER 3 YEARS OLD",""))))</f>
        <v/>
      </c>
    </row>
    <row r="57" ht="30" customHeight="1" s="40">
      <c r="A57" s="77" t="n"/>
      <c r="B57" s="78" t="n"/>
      <c r="C57" s="78" t="n"/>
      <c r="D57" s="79" t="n"/>
      <c r="E57" s="77" t="n"/>
      <c r="F57" s="80" t="n"/>
      <c r="G57" s="80" t="n"/>
      <c r="H57" s="81">
        <f>IF(B57="","",IF(AND(ISNUMBER(G57),G57&lt;TODAY()),"CERTIFICATE EXPIRED",IF(AND(OR(E57="days",E57="2-4 weeks"),F57=""),"CRITICAL, NEVER ASSESSED",IF(AND(OR(E57="days",E57="2-4 weeks"),ISNUMBER(F57),F57&lt;EDATE(TODAY(),-36)),"ASSESSMENT OVER 3 YEARS OLD",""))))</f>
        <v/>
      </c>
    </row>
    <row r="58" ht="30" customHeight="1" s="40">
      <c r="A58" s="82" t="n"/>
      <c r="B58" s="83" t="n"/>
      <c r="C58" s="83" t="n"/>
      <c r="D58" s="84" t="n"/>
      <c r="E58" s="82" t="n"/>
      <c r="F58" s="85" t="n"/>
      <c r="G58" s="85" t="n"/>
      <c r="H58" s="81">
        <f>IF(B58="","",IF(AND(ISNUMBER(G58),G58&lt;TODAY()),"CERTIFICATE EXPIRED",IF(AND(OR(E58="days",E58="2-4 weeks"),F58=""),"CRITICAL, NEVER ASSESSED",IF(AND(OR(E58="days",E58="2-4 weeks"),ISNUMBER(F58),F58&lt;EDATE(TODAY(),-36)),"ASSESSMENT OVER 3 YEARS OLD",""))))</f>
        <v/>
      </c>
    </row>
    <row r="59" ht="30" customHeight="1" s="40">
      <c r="A59" s="77" t="n"/>
      <c r="B59" s="78" t="n"/>
      <c r="C59" s="78" t="n"/>
      <c r="D59" s="79" t="n"/>
      <c r="E59" s="77" t="n"/>
      <c r="F59" s="80" t="n"/>
      <c r="G59" s="80" t="n"/>
      <c r="H59" s="81">
        <f>IF(B59="","",IF(AND(ISNUMBER(G59),G59&lt;TODAY()),"CERTIFICATE EXPIRED",IF(AND(OR(E59="days",E59="2-4 weeks"),F59=""),"CRITICAL, NEVER ASSESSED",IF(AND(OR(E59="days",E59="2-4 weeks"),ISNUMBER(F59),F59&lt;EDATE(TODAY(),-36)),"ASSESSMENT OVER 3 YEARS OLD",""))))</f>
        <v/>
      </c>
    </row>
    <row r="60" ht="30" customHeight="1" s="40">
      <c r="A60" s="82" t="n"/>
      <c r="B60" s="83" t="n"/>
      <c r="C60" s="83" t="n"/>
      <c r="D60" s="84" t="n"/>
      <c r="E60" s="82" t="n"/>
      <c r="F60" s="85" t="n"/>
      <c r="G60" s="85" t="n"/>
      <c r="H60" s="81">
        <f>IF(B60="","",IF(AND(ISNUMBER(G60),G60&lt;TODAY()),"CERTIFICATE EXPIRED",IF(AND(OR(E60="days",E60="2-4 weeks"),F60=""),"CRITICAL, NEVER ASSESSED",IF(AND(OR(E60="days",E60="2-4 weeks"),ISNUMBER(F60),F60&lt;EDATE(TODAY(),-36)),"ASSESSMENT OVER 3 YEARS OLD",""))))</f>
        <v/>
      </c>
    </row>
    <row r="61" ht="30" customHeight="1" s="40">
      <c r="A61" s="77" t="n"/>
      <c r="B61" s="78" t="n"/>
      <c r="C61" s="78" t="n"/>
      <c r="D61" s="79" t="n"/>
      <c r="E61" s="77" t="n"/>
      <c r="F61" s="80" t="n"/>
      <c r="G61" s="80" t="n"/>
      <c r="H61" s="81">
        <f>IF(B61="","",IF(AND(ISNUMBER(G61),G61&lt;TODAY()),"CERTIFICATE EXPIRED",IF(AND(OR(E61="days",E61="2-4 weeks"),F61=""),"CRITICAL, NEVER ASSESSED",IF(AND(OR(E61="days",E61="2-4 weeks"),ISNUMBER(F61),F61&lt;EDATE(TODAY(),-36)),"ASSESSMENT OVER 3 YEARS OLD",""))))</f>
        <v/>
      </c>
    </row>
    <row r="62" ht="30" customHeight="1" s="40">
      <c r="A62" s="82" t="n"/>
      <c r="B62" s="83" t="n"/>
      <c r="C62" s="83" t="n"/>
      <c r="D62" s="84" t="n"/>
      <c r="E62" s="82" t="n"/>
      <c r="F62" s="85" t="n"/>
      <c r="G62" s="85" t="n"/>
      <c r="H62" s="81">
        <f>IF(B62="","",IF(AND(ISNUMBER(G62),G62&lt;TODAY()),"CERTIFICATE EXPIRED",IF(AND(OR(E62="days",E62="2-4 weeks"),F62=""),"CRITICAL, NEVER ASSESSED",IF(AND(OR(E62="days",E62="2-4 weeks"),ISNUMBER(F62),F62&lt;EDATE(TODAY(),-36)),"ASSESSMENT OVER 3 YEARS OLD",""))))</f>
        <v/>
      </c>
    </row>
    <row r="63" ht="30" customHeight="1" s="40">
      <c r="A63" s="77" t="n"/>
      <c r="B63" s="78" t="n"/>
      <c r="C63" s="78" t="n"/>
      <c r="D63" s="79" t="n"/>
      <c r="E63" s="77" t="n"/>
      <c r="F63" s="80" t="n"/>
      <c r="G63" s="80" t="n"/>
      <c r="H63" s="81">
        <f>IF(B63="","",IF(AND(ISNUMBER(G63),G63&lt;TODAY()),"CERTIFICATE EXPIRED",IF(AND(OR(E63="days",E63="2-4 weeks"),F63=""),"CRITICAL, NEVER ASSESSED",IF(AND(OR(E63="days",E63="2-4 weeks"),ISNUMBER(F63),F63&lt;EDATE(TODAY(),-36)),"ASSESSMENT OVER 3 YEARS OLD",""))))</f>
        <v/>
      </c>
    </row>
    <row r="64" ht="30" customHeight="1" s="40">
      <c r="A64" s="82" t="n"/>
      <c r="B64" s="83" t="n"/>
      <c r="C64" s="83" t="n"/>
      <c r="D64" s="84" t="n"/>
      <c r="E64" s="82" t="n"/>
      <c r="F64" s="85" t="n"/>
      <c r="G64" s="85" t="n"/>
      <c r="H64" s="81">
        <f>IF(B64="","",IF(AND(ISNUMBER(G64),G64&lt;TODAY()),"CERTIFICATE EXPIRED",IF(AND(OR(E64="days",E64="2-4 weeks"),F64=""),"CRITICAL, NEVER ASSESSED",IF(AND(OR(E64="days",E64="2-4 weeks"),ISNUMBER(F64),F64&lt;EDATE(TODAY(),-36)),"ASSESSMENT OVER 3 YEARS OLD",""))))</f>
        <v/>
      </c>
    </row>
    <row r="65" ht="15.75" customHeight="1" s="40">
      <c r="A65" s="86" t="inlineStr">
        <is>
          <t>END OF FORM—rows below this line are not included in any calculation</t>
        </is>
      </c>
    </row>
    <row r="66"/>
    <row r="67" ht="15" customHeight="1" s="40">
      <c r="A67" s="87" t="inlineStr">
        <is>
          <t>Spend measures what a supplier is worth to you. It does not measure what their failure would cost you, and those two are frequently unrelated. The suppliers that will hurt you are often the small ones, because size is what gets a supplier onto a list and consequence is what should.</t>
        </is>
      </c>
    </row>
    <row r="68" ht="15" customHeight="1" s="40"/>
  </sheetData>
  <sheetProtection selectLockedCells="0" selectUnlockedCells="0" sheet="1" objects="0" insertRows="1" insertHyperlinks="1" autoFilter="1" scenarios="0" formatColumns="1" deleteColumns="1" insertColumns="1" pivotTables="1" deleteRows="1" formatCells="1" formatRows="1" sort="1"/>
  <autoFilter ref="A4:H64"/>
  <mergeCells count="4">
    <mergeCell ref="A65:H65"/>
    <mergeCell ref="A2:H2"/>
    <mergeCell ref="A67:H68"/>
    <mergeCell ref="A1:H1"/>
  </mergeCells>
  <conditionalFormatting sqref="H5:H64">
    <cfRule type="expression" rank="0" priority="2" equalAverage="0" aboveAverage="0" dxfId="6" text="" percent="0" bottom="0">
      <formula>$H5&lt;&gt;""</formula>
    </cfRule>
  </conditionalFormatting>
  <conditionalFormatting sqref="E5:E64">
    <cfRule type="expression" rank="0" priority="3" equalAverage="0" aboveAverage="0" dxfId="7" text="" percent="0" bottom="0">
      <formula>OR($E5="days",$E5="2-4 weeks")</formula>
    </cfRule>
  </conditionalFormatting>
  <dataValidations count="1">
    <dataValidation sqref="E5:E64" showDropDown="0" showInputMessage="0" showErrorMessage="1" allowBlank="1" type="list" errorStyle="stop" operator="between">
      <formula1>"days,2-4 weeks,1-3 months,3-12 months,over a year,indefinitely"</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I6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70" min="1" max="1"/>
    <col width="22" customWidth="1" style="70" min="2" max="2"/>
    <col width="12" customWidth="1" style="70" min="3" max="3"/>
    <col width="17" customWidth="1" style="70" min="4" max="5"/>
    <col width="34" customWidth="1" style="70" min="6" max="7"/>
    <col width="26" customWidth="1" style="70" min="8" max="8"/>
    <col width="20" customWidth="1" style="70" min="9" max="9"/>
  </cols>
  <sheetData>
    <row r="1" ht="25.5" customHeight="1" s="40">
      <c r="A1" s="71" t="inlineStr">
        <is>
          <t>SUPPLIER ASSESSMENT RECORD</t>
        </is>
      </c>
    </row>
    <row r="2" ht="15.75" customHeight="1" s="40">
      <c r="A2" s="72" t="inlineStr">
        <is>
          <t>Both percentages are mandatory. They tell you your real leverage and how fast you will hear about trouble.</t>
        </is>
      </c>
    </row>
    <row r="3"/>
    <row r="4" ht="30" customHeight="1" s="40">
      <c r="A4" s="76" t="inlineStr">
        <is>
          <t>Ref</t>
        </is>
      </c>
      <c r="B4" s="76" t="inlineStr">
        <is>
          <t>Supplier</t>
        </is>
      </c>
      <c r="C4" s="76" t="inlineStr">
        <is>
          <t>Date</t>
        </is>
      </c>
      <c r="D4" s="76" t="inlineStr">
        <is>
          <t>We are __% of their output</t>
        </is>
      </c>
      <c r="E4" s="76" t="inlineStr">
        <is>
          <t>They are __% of our supply</t>
        </is>
      </c>
      <c r="F4" s="76" t="inlineStr">
        <is>
          <t>Single points observed</t>
        </is>
      </c>
      <c r="G4" s="76" t="inlineStr">
        <is>
          <t>Agreed (things they will actually do)</t>
        </is>
      </c>
      <c r="H4" s="76" t="inlineStr">
        <is>
          <t>Residual risk accepted—owner</t>
        </is>
      </c>
      <c r="I4" s="76" t="inlineStr">
        <is>
          <t>Flag</t>
        </is>
      </c>
    </row>
    <row r="5" ht="39.75" customHeight="1" s="40">
      <c r="A5" s="77" t="n"/>
      <c r="B5" s="78" t="n"/>
      <c r="C5" s="80" t="n"/>
      <c r="D5" s="88" t="n"/>
      <c r="E5" s="88" t="n"/>
      <c r="F5" s="78" t="n"/>
      <c r="G5" s="78" t="n"/>
      <c r="H5" s="78" t="n"/>
      <c r="I5" s="81">
        <f>IF(B5="","",IF(OR(D5="",E5=""),"PERCENTAGES MISSING",IF(AND(ISNUMBER(E5),E5&gt;=75,H5=""),"HIGH DEPENDENCY, NO OWNER","")))</f>
        <v/>
      </c>
    </row>
    <row r="6" ht="39.75" customHeight="1" s="40">
      <c r="A6" s="82" t="n"/>
      <c r="B6" s="83" t="n"/>
      <c r="C6" s="85" t="n"/>
      <c r="D6" s="89" t="n"/>
      <c r="E6" s="89" t="n"/>
      <c r="F6" s="83" t="n"/>
      <c r="G6" s="83" t="n"/>
      <c r="H6" s="83" t="n"/>
      <c r="I6" s="81">
        <f>IF(B6="","",IF(OR(D6="",E6=""),"PERCENTAGES MISSING",IF(AND(ISNUMBER(E6),E6&gt;=75,H6=""),"HIGH DEPENDENCY, NO OWNER","")))</f>
        <v/>
      </c>
    </row>
    <row r="7" ht="39.75" customHeight="1" s="40">
      <c r="A7" s="77" t="n"/>
      <c r="B7" s="78" t="n"/>
      <c r="C7" s="80" t="n"/>
      <c r="D7" s="88" t="n"/>
      <c r="E7" s="88" t="n"/>
      <c r="F7" s="78" t="n"/>
      <c r="G7" s="78" t="n"/>
      <c r="H7" s="78" t="n"/>
      <c r="I7" s="81">
        <f>IF(B7="","",IF(OR(D7="",E7=""),"PERCENTAGES MISSING",IF(AND(ISNUMBER(E7),E7&gt;=75,H7=""),"HIGH DEPENDENCY, NO OWNER","")))</f>
        <v/>
      </c>
    </row>
    <row r="8" ht="39.75" customHeight="1" s="40">
      <c r="A8" s="82" t="n"/>
      <c r="B8" s="83" t="n"/>
      <c r="C8" s="85" t="n"/>
      <c r="D8" s="89" t="n"/>
      <c r="E8" s="89" t="n"/>
      <c r="F8" s="83" t="n"/>
      <c r="G8" s="83" t="n"/>
      <c r="H8" s="83" t="n"/>
      <c r="I8" s="81">
        <f>IF(B8="","",IF(OR(D8="",E8=""),"PERCENTAGES MISSING",IF(AND(ISNUMBER(E8),E8&gt;=75,H8=""),"HIGH DEPENDENCY, NO OWNER","")))</f>
        <v/>
      </c>
    </row>
    <row r="9" ht="39.75" customHeight="1" s="40">
      <c r="A9" s="77" t="n"/>
      <c r="B9" s="78" t="n"/>
      <c r="C9" s="80" t="n"/>
      <c r="D9" s="88" t="n"/>
      <c r="E9" s="88" t="n"/>
      <c r="F9" s="78" t="n"/>
      <c r="G9" s="78" t="n"/>
      <c r="H9" s="78" t="n"/>
      <c r="I9" s="81">
        <f>IF(B9="","",IF(OR(D9="",E9=""),"PERCENTAGES MISSING",IF(AND(ISNUMBER(E9),E9&gt;=75,H9=""),"HIGH DEPENDENCY, NO OWNER","")))</f>
        <v/>
      </c>
    </row>
    <row r="10" ht="39.75" customHeight="1" s="40">
      <c r="A10" s="82" t="n"/>
      <c r="B10" s="83" t="n"/>
      <c r="C10" s="85" t="n"/>
      <c r="D10" s="89" t="n"/>
      <c r="E10" s="89" t="n"/>
      <c r="F10" s="83" t="n"/>
      <c r="G10" s="83" t="n"/>
      <c r="H10" s="83" t="n"/>
      <c r="I10" s="81">
        <f>IF(B10="","",IF(OR(D10="",E10=""),"PERCENTAGES MISSING",IF(AND(ISNUMBER(E10),E10&gt;=75,H10=""),"HIGH DEPENDENCY, NO OWNER","")))</f>
        <v/>
      </c>
    </row>
    <row r="11" ht="39.75" customHeight="1" s="40">
      <c r="A11" s="77" t="n"/>
      <c r="B11" s="78" t="n"/>
      <c r="C11" s="80" t="n"/>
      <c r="D11" s="88" t="n"/>
      <c r="E11" s="88" t="n"/>
      <c r="F11" s="78" t="n"/>
      <c r="G11" s="78" t="n"/>
      <c r="H11" s="78" t="n"/>
      <c r="I11" s="81">
        <f>IF(B11="","",IF(OR(D11="",E11=""),"PERCENTAGES MISSING",IF(AND(ISNUMBER(E11),E11&gt;=75,H11=""),"HIGH DEPENDENCY, NO OWNER","")))</f>
        <v/>
      </c>
    </row>
    <row r="12" ht="39.75" customHeight="1" s="40">
      <c r="A12" s="82" t="n"/>
      <c r="B12" s="83" t="n"/>
      <c r="C12" s="85" t="n"/>
      <c r="D12" s="89" t="n"/>
      <c r="E12" s="89" t="n"/>
      <c r="F12" s="83" t="n"/>
      <c r="G12" s="83" t="n"/>
      <c r="H12" s="83" t="n"/>
      <c r="I12" s="81">
        <f>IF(B12="","",IF(OR(D12="",E12=""),"PERCENTAGES MISSING",IF(AND(ISNUMBER(E12),E12&gt;=75,H12=""),"HIGH DEPENDENCY, NO OWNER","")))</f>
        <v/>
      </c>
    </row>
    <row r="13" ht="39.75" customHeight="1" s="40">
      <c r="A13" s="77" t="n"/>
      <c r="B13" s="78" t="n"/>
      <c r="C13" s="80" t="n"/>
      <c r="D13" s="88" t="n"/>
      <c r="E13" s="88" t="n"/>
      <c r="F13" s="78" t="n"/>
      <c r="G13" s="78" t="n"/>
      <c r="H13" s="78" t="n"/>
      <c r="I13" s="81">
        <f>IF(B13="","",IF(OR(D13="",E13=""),"PERCENTAGES MISSING",IF(AND(ISNUMBER(E13),E13&gt;=75,H13=""),"HIGH DEPENDENCY, NO OWNER","")))</f>
        <v/>
      </c>
    </row>
    <row r="14" ht="39.75" customHeight="1" s="40">
      <c r="A14" s="82" t="n"/>
      <c r="B14" s="83" t="n"/>
      <c r="C14" s="85" t="n"/>
      <c r="D14" s="89" t="n"/>
      <c r="E14" s="89" t="n"/>
      <c r="F14" s="83" t="n"/>
      <c r="G14" s="83" t="n"/>
      <c r="H14" s="83" t="n"/>
      <c r="I14" s="81">
        <f>IF(B14="","",IF(OR(D14="",E14=""),"PERCENTAGES MISSING",IF(AND(ISNUMBER(E14),E14&gt;=75,H14=""),"HIGH DEPENDENCY, NO OWNER","")))</f>
        <v/>
      </c>
    </row>
    <row r="15" ht="39.75" customHeight="1" s="40">
      <c r="A15" s="77" t="n"/>
      <c r="B15" s="78" t="n"/>
      <c r="C15" s="80" t="n"/>
      <c r="D15" s="88" t="n"/>
      <c r="E15" s="88" t="n"/>
      <c r="F15" s="78" t="n"/>
      <c r="G15" s="78" t="n"/>
      <c r="H15" s="78" t="n"/>
      <c r="I15" s="81">
        <f>IF(B15="","",IF(OR(D15="",E15=""),"PERCENTAGES MISSING",IF(AND(ISNUMBER(E15),E15&gt;=75,H15=""),"HIGH DEPENDENCY, NO OWNER","")))</f>
        <v/>
      </c>
    </row>
    <row r="16" ht="39.75" customHeight="1" s="40">
      <c r="A16" s="82" t="n"/>
      <c r="B16" s="83" t="n"/>
      <c r="C16" s="85" t="n"/>
      <c r="D16" s="89" t="n"/>
      <c r="E16" s="89" t="n"/>
      <c r="F16" s="83" t="n"/>
      <c r="G16" s="83" t="n"/>
      <c r="H16" s="83" t="n"/>
      <c r="I16" s="81">
        <f>IF(B16="","",IF(OR(D16="",E16=""),"PERCENTAGES MISSING",IF(AND(ISNUMBER(E16),E16&gt;=75,H16=""),"HIGH DEPENDENCY, NO OWNER","")))</f>
        <v/>
      </c>
    </row>
    <row r="17" ht="39.75" customHeight="1" s="40">
      <c r="A17" s="77" t="n"/>
      <c r="B17" s="78" t="n"/>
      <c r="C17" s="80" t="n"/>
      <c r="D17" s="88" t="n"/>
      <c r="E17" s="88" t="n"/>
      <c r="F17" s="78" t="n"/>
      <c r="G17" s="78" t="n"/>
      <c r="H17" s="78" t="n"/>
      <c r="I17" s="81">
        <f>IF(B17="","",IF(OR(D17="",E17=""),"PERCENTAGES MISSING",IF(AND(ISNUMBER(E17),E17&gt;=75,H17=""),"HIGH DEPENDENCY, NO OWNER","")))</f>
        <v/>
      </c>
    </row>
    <row r="18" ht="39.75" customHeight="1" s="40">
      <c r="A18" s="82" t="n"/>
      <c r="B18" s="83" t="n"/>
      <c r="C18" s="85" t="n"/>
      <c r="D18" s="89" t="n"/>
      <c r="E18" s="89" t="n"/>
      <c r="F18" s="83" t="n"/>
      <c r="G18" s="83" t="n"/>
      <c r="H18" s="83" t="n"/>
      <c r="I18" s="81">
        <f>IF(B18="","",IF(OR(D18="",E18=""),"PERCENTAGES MISSING",IF(AND(ISNUMBER(E18),E18&gt;=75,H18=""),"HIGH DEPENDENCY, NO OWNER","")))</f>
        <v/>
      </c>
    </row>
    <row r="19" ht="39.75" customHeight="1" s="40">
      <c r="A19" s="77" t="n"/>
      <c r="B19" s="78" t="n"/>
      <c r="C19" s="80" t="n"/>
      <c r="D19" s="88" t="n"/>
      <c r="E19" s="88" t="n"/>
      <c r="F19" s="78" t="n"/>
      <c r="G19" s="78" t="n"/>
      <c r="H19" s="78" t="n"/>
      <c r="I19" s="81">
        <f>IF(B19="","",IF(OR(D19="",E19=""),"PERCENTAGES MISSING",IF(AND(ISNUMBER(E19),E19&gt;=75,H19=""),"HIGH DEPENDENCY, NO OWNER","")))</f>
        <v/>
      </c>
    </row>
    <row r="20" ht="39.75" customHeight="1" s="40">
      <c r="A20" s="82" t="n"/>
      <c r="B20" s="83" t="n"/>
      <c r="C20" s="85" t="n"/>
      <c r="D20" s="89" t="n"/>
      <c r="E20" s="89" t="n"/>
      <c r="F20" s="83" t="n"/>
      <c r="G20" s="83" t="n"/>
      <c r="H20" s="83" t="n"/>
      <c r="I20" s="81">
        <f>IF(B20="","",IF(OR(D20="",E20=""),"PERCENTAGES MISSING",IF(AND(ISNUMBER(E20),E20&gt;=75,H20=""),"HIGH DEPENDENCY, NO OWNER","")))</f>
        <v/>
      </c>
    </row>
    <row r="21" ht="39.75" customHeight="1" s="40">
      <c r="A21" s="77" t="n"/>
      <c r="B21" s="78" t="n"/>
      <c r="C21" s="80" t="n"/>
      <c r="D21" s="88" t="n"/>
      <c r="E21" s="88" t="n"/>
      <c r="F21" s="78" t="n"/>
      <c r="G21" s="78" t="n"/>
      <c r="H21" s="78" t="n"/>
      <c r="I21" s="81">
        <f>IF(B21="","",IF(OR(D21="",E21=""),"PERCENTAGES MISSING",IF(AND(ISNUMBER(E21),E21&gt;=75,H21=""),"HIGH DEPENDENCY, NO OWNER","")))</f>
        <v/>
      </c>
    </row>
    <row r="22" ht="39.75" customHeight="1" s="40">
      <c r="A22" s="82" t="n"/>
      <c r="B22" s="83" t="n"/>
      <c r="C22" s="85" t="n"/>
      <c r="D22" s="89" t="n"/>
      <c r="E22" s="89" t="n"/>
      <c r="F22" s="83" t="n"/>
      <c r="G22" s="83" t="n"/>
      <c r="H22" s="83" t="n"/>
      <c r="I22" s="81">
        <f>IF(B22="","",IF(OR(D22="",E22=""),"PERCENTAGES MISSING",IF(AND(ISNUMBER(E22),E22&gt;=75,H22=""),"HIGH DEPENDENCY, NO OWNER","")))</f>
        <v/>
      </c>
    </row>
    <row r="23" ht="39.75" customHeight="1" s="40">
      <c r="A23" s="77" t="n"/>
      <c r="B23" s="78" t="n"/>
      <c r="C23" s="80" t="n"/>
      <c r="D23" s="88" t="n"/>
      <c r="E23" s="88" t="n"/>
      <c r="F23" s="78" t="n"/>
      <c r="G23" s="78" t="n"/>
      <c r="H23" s="78" t="n"/>
      <c r="I23" s="81">
        <f>IF(B23="","",IF(OR(D23="",E23=""),"PERCENTAGES MISSING",IF(AND(ISNUMBER(E23),E23&gt;=75,H23=""),"HIGH DEPENDENCY, NO OWNER","")))</f>
        <v/>
      </c>
    </row>
    <row r="24" ht="39.75" customHeight="1" s="40">
      <c r="A24" s="82" t="n"/>
      <c r="B24" s="83" t="n"/>
      <c r="C24" s="85" t="n"/>
      <c r="D24" s="89" t="n"/>
      <c r="E24" s="89" t="n"/>
      <c r="F24" s="83" t="n"/>
      <c r="G24" s="83" t="n"/>
      <c r="H24" s="83" t="n"/>
      <c r="I24" s="81">
        <f>IF(B24="","",IF(OR(D24="",E24=""),"PERCENTAGES MISSING",IF(AND(ISNUMBER(E24),E24&gt;=75,H24=""),"HIGH DEPENDENCY, NO OWNER","")))</f>
        <v/>
      </c>
    </row>
    <row r="25" ht="39.75" customHeight="1" s="40">
      <c r="A25" s="77" t="n"/>
      <c r="B25" s="78" t="n"/>
      <c r="C25" s="80" t="n"/>
      <c r="D25" s="88" t="n"/>
      <c r="E25" s="88" t="n"/>
      <c r="F25" s="78" t="n"/>
      <c r="G25" s="78" t="n"/>
      <c r="H25" s="78" t="n"/>
      <c r="I25" s="81">
        <f>IF(B25="","",IF(OR(D25="",E25=""),"PERCENTAGES MISSING",IF(AND(ISNUMBER(E25),E25&gt;=75,H25=""),"HIGH DEPENDENCY, NO OWNER","")))</f>
        <v/>
      </c>
    </row>
    <row r="26" ht="39.75" customHeight="1" s="40">
      <c r="A26" s="82" t="n"/>
      <c r="B26" s="83" t="n"/>
      <c r="C26" s="85" t="n"/>
      <c r="D26" s="89" t="n"/>
      <c r="E26" s="89" t="n"/>
      <c r="F26" s="83" t="n"/>
      <c r="G26" s="83" t="n"/>
      <c r="H26" s="83" t="n"/>
      <c r="I26" s="81">
        <f>IF(B26="","",IF(OR(D26="",E26=""),"PERCENTAGES MISSING",IF(AND(ISNUMBER(E26),E26&gt;=75,H26=""),"HIGH DEPENDENCY, NO OWNER","")))</f>
        <v/>
      </c>
    </row>
    <row r="27" ht="39.75" customHeight="1" s="40">
      <c r="A27" s="77" t="n"/>
      <c r="B27" s="78" t="n"/>
      <c r="C27" s="80" t="n"/>
      <c r="D27" s="88" t="n"/>
      <c r="E27" s="88" t="n"/>
      <c r="F27" s="78" t="n"/>
      <c r="G27" s="78" t="n"/>
      <c r="H27" s="78" t="n"/>
      <c r="I27" s="81">
        <f>IF(B27="","",IF(OR(D27="",E27=""),"PERCENTAGES MISSING",IF(AND(ISNUMBER(E27),E27&gt;=75,H27=""),"HIGH DEPENDENCY, NO OWNER","")))</f>
        <v/>
      </c>
    </row>
    <row r="28" ht="39.75" customHeight="1" s="40">
      <c r="A28" s="82" t="n"/>
      <c r="B28" s="83" t="n"/>
      <c r="C28" s="85" t="n"/>
      <c r="D28" s="89" t="n"/>
      <c r="E28" s="89" t="n"/>
      <c r="F28" s="83" t="n"/>
      <c r="G28" s="83" t="n"/>
      <c r="H28" s="83" t="n"/>
      <c r="I28" s="81">
        <f>IF(B28="","",IF(OR(D28="",E28=""),"PERCENTAGES MISSING",IF(AND(ISNUMBER(E28),E28&gt;=75,H28=""),"HIGH DEPENDENCY, NO OWNER","")))</f>
        <v/>
      </c>
    </row>
    <row r="29" ht="39.75" customHeight="1" s="40">
      <c r="A29" s="77" t="n"/>
      <c r="B29" s="78" t="n"/>
      <c r="C29" s="80" t="n"/>
      <c r="D29" s="88" t="n"/>
      <c r="E29" s="88" t="n"/>
      <c r="F29" s="78" t="n"/>
      <c r="G29" s="78" t="n"/>
      <c r="H29" s="78" t="n"/>
      <c r="I29" s="81">
        <f>IF(B29="","",IF(OR(D29="",E29=""),"PERCENTAGES MISSING",IF(AND(ISNUMBER(E29),E29&gt;=75,H29=""),"HIGH DEPENDENCY, NO OWNER","")))</f>
        <v/>
      </c>
    </row>
    <row r="30" ht="39.75" customHeight="1" s="40">
      <c r="A30" s="82" t="n"/>
      <c r="B30" s="83" t="n"/>
      <c r="C30" s="85" t="n"/>
      <c r="D30" s="89" t="n"/>
      <c r="E30" s="89" t="n"/>
      <c r="F30" s="83" t="n"/>
      <c r="G30" s="83" t="n"/>
      <c r="H30" s="83" t="n"/>
      <c r="I30" s="81">
        <f>IF(B30="","",IF(OR(D30="",E30=""),"PERCENTAGES MISSING",IF(AND(ISNUMBER(E30),E30&gt;=75,H30=""),"HIGH DEPENDENCY, NO OWNER","")))</f>
        <v/>
      </c>
    </row>
    <row r="31" ht="39.75" customHeight="1" s="40">
      <c r="A31" s="77" t="n"/>
      <c r="B31" s="78" t="n"/>
      <c r="C31" s="80" t="n"/>
      <c r="D31" s="88" t="n"/>
      <c r="E31" s="88" t="n"/>
      <c r="F31" s="78" t="n"/>
      <c r="G31" s="78" t="n"/>
      <c r="H31" s="78" t="n"/>
      <c r="I31" s="81">
        <f>IF(B31="","",IF(OR(D31="",E31=""),"PERCENTAGES MISSING",IF(AND(ISNUMBER(E31),E31&gt;=75,H31=""),"HIGH DEPENDENCY, NO OWNER","")))</f>
        <v/>
      </c>
    </row>
    <row r="32" ht="39.75" customHeight="1" s="40">
      <c r="A32" s="82" t="n"/>
      <c r="B32" s="83" t="n"/>
      <c r="C32" s="85" t="n"/>
      <c r="D32" s="89" t="n"/>
      <c r="E32" s="89" t="n"/>
      <c r="F32" s="83" t="n"/>
      <c r="G32" s="83" t="n"/>
      <c r="H32" s="83" t="n"/>
      <c r="I32" s="81">
        <f>IF(B32="","",IF(OR(D32="",E32=""),"PERCENTAGES MISSING",IF(AND(ISNUMBER(E32),E32&gt;=75,H32=""),"HIGH DEPENDENCY, NO OWNER","")))</f>
        <v/>
      </c>
    </row>
    <row r="33" ht="39.75" customHeight="1" s="40">
      <c r="A33" s="77" t="n"/>
      <c r="B33" s="78" t="n"/>
      <c r="C33" s="80" t="n"/>
      <c r="D33" s="88" t="n"/>
      <c r="E33" s="88" t="n"/>
      <c r="F33" s="78" t="n"/>
      <c r="G33" s="78" t="n"/>
      <c r="H33" s="78" t="n"/>
      <c r="I33" s="81">
        <f>IF(B33="","",IF(OR(D33="",E33=""),"PERCENTAGES MISSING",IF(AND(ISNUMBER(E33),E33&gt;=75,H33=""),"HIGH DEPENDENCY, NO OWNER","")))</f>
        <v/>
      </c>
    </row>
    <row r="34" ht="39.75" customHeight="1" s="40">
      <c r="A34" s="82" t="n"/>
      <c r="B34" s="83" t="n"/>
      <c r="C34" s="85" t="n"/>
      <c r="D34" s="89" t="n"/>
      <c r="E34" s="89" t="n"/>
      <c r="F34" s="83" t="n"/>
      <c r="G34" s="83" t="n"/>
      <c r="H34" s="83" t="n"/>
      <c r="I34" s="81">
        <f>IF(B34="","",IF(OR(D34="",E34=""),"PERCENTAGES MISSING",IF(AND(ISNUMBER(E34),E34&gt;=75,H34=""),"HIGH DEPENDENCY, NO OWNER","")))</f>
        <v/>
      </c>
    </row>
    <row r="35" ht="39.75" customHeight="1" s="40">
      <c r="A35" s="77" t="n"/>
      <c r="B35" s="78" t="n"/>
      <c r="C35" s="80" t="n"/>
      <c r="D35" s="88" t="n"/>
      <c r="E35" s="88" t="n"/>
      <c r="F35" s="78" t="n"/>
      <c r="G35" s="78" t="n"/>
      <c r="H35" s="78" t="n"/>
      <c r="I35" s="81">
        <f>IF(B35="","",IF(OR(D35="",E35=""),"PERCENTAGES MISSING",IF(AND(ISNUMBER(E35),E35&gt;=75,H35=""),"HIGH DEPENDENCY, NO OWNER","")))</f>
        <v/>
      </c>
    </row>
    <row r="36" ht="39.75" customHeight="1" s="40">
      <c r="A36" s="82" t="n"/>
      <c r="B36" s="83" t="n"/>
      <c r="C36" s="85" t="n"/>
      <c r="D36" s="89" t="n"/>
      <c r="E36" s="89" t="n"/>
      <c r="F36" s="83" t="n"/>
      <c r="G36" s="83" t="n"/>
      <c r="H36" s="83" t="n"/>
      <c r="I36" s="81">
        <f>IF(B36="","",IF(OR(D36="",E36=""),"PERCENTAGES MISSING",IF(AND(ISNUMBER(E36),E36&gt;=75,H36=""),"HIGH DEPENDENCY, NO OWNER","")))</f>
        <v/>
      </c>
    </row>
    <row r="37" ht="39.75" customHeight="1" s="40">
      <c r="A37" s="77" t="n"/>
      <c r="B37" s="78" t="n"/>
      <c r="C37" s="80" t="n"/>
      <c r="D37" s="88" t="n"/>
      <c r="E37" s="88" t="n"/>
      <c r="F37" s="78" t="n"/>
      <c r="G37" s="78" t="n"/>
      <c r="H37" s="78" t="n"/>
      <c r="I37" s="81">
        <f>IF(B37="","",IF(OR(D37="",E37=""),"PERCENTAGES MISSING",IF(AND(ISNUMBER(E37),E37&gt;=75,H37=""),"HIGH DEPENDENCY, NO OWNER","")))</f>
        <v/>
      </c>
    </row>
    <row r="38" ht="39.75" customHeight="1" s="40">
      <c r="A38" s="82" t="n"/>
      <c r="B38" s="83" t="n"/>
      <c r="C38" s="85" t="n"/>
      <c r="D38" s="89" t="n"/>
      <c r="E38" s="89" t="n"/>
      <c r="F38" s="83" t="n"/>
      <c r="G38" s="83" t="n"/>
      <c r="H38" s="83" t="n"/>
      <c r="I38" s="81">
        <f>IF(B38="","",IF(OR(D38="",E38=""),"PERCENTAGES MISSING",IF(AND(ISNUMBER(E38),E38&gt;=75,H38=""),"HIGH DEPENDENCY, NO OWNER","")))</f>
        <v/>
      </c>
    </row>
    <row r="39" ht="39.75" customHeight="1" s="40">
      <c r="A39" s="77" t="n"/>
      <c r="B39" s="78" t="n"/>
      <c r="C39" s="80" t="n"/>
      <c r="D39" s="88" t="n"/>
      <c r="E39" s="88" t="n"/>
      <c r="F39" s="78" t="n"/>
      <c r="G39" s="78" t="n"/>
      <c r="H39" s="78" t="n"/>
      <c r="I39" s="81">
        <f>IF(B39="","",IF(OR(D39="",E39=""),"PERCENTAGES MISSING",IF(AND(ISNUMBER(E39),E39&gt;=75,H39=""),"HIGH DEPENDENCY, NO OWNER","")))</f>
        <v/>
      </c>
    </row>
    <row r="40" ht="39.75" customHeight="1" s="40">
      <c r="A40" s="82" t="n"/>
      <c r="B40" s="83" t="n"/>
      <c r="C40" s="85" t="n"/>
      <c r="D40" s="89" t="n"/>
      <c r="E40" s="89" t="n"/>
      <c r="F40" s="83" t="n"/>
      <c r="G40" s="83" t="n"/>
      <c r="H40" s="83" t="n"/>
      <c r="I40" s="81">
        <f>IF(B40="","",IF(OR(D40="",E40=""),"PERCENTAGES MISSING",IF(AND(ISNUMBER(E40),E40&gt;=75,H40=""),"HIGH DEPENDENCY, NO OWNER","")))</f>
        <v/>
      </c>
    </row>
    <row r="41" ht="39.75" customHeight="1" s="40">
      <c r="A41" s="77" t="n"/>
      <c r="B41" s="78" t="n"/>
      <c r="C41" s="80" t="n"/>
      <c r="D41" s="88" t="n"/>
      <c r="E41" s="88" t="n"/>
      <c r="F41" s="78" t="n"/>
      <c r="G41" s="78" t="n"/>
      <c r="H41" s="78" t="n"/>
      <c r="I41" s="81">
        <f>IF(B41="","",IF(OR(D41="",E41=""),"PERCENTAGES MISSING",IF(AND(ISNUMBER(E41),E41&gt;=75,H41=""),"HIGH DEPENDENCY, NO OWNER","")))</f>
        <v/>
      </c>
    </row>
    <row r="42" ht="39.75" customHeight="1" s="40">
      <c r="A42" s="82" t="n"/>
      <c r="B42" s="83" t="n"/>
      <c r="C42" s="85" t="n"/>
      <c r="D42" s="89" t="n"/>
      <c r="E42" s="89" t="n"/>
      <c r="F42" s="83" t="n"/>
      <c r="G42" s="83" t="n"/>
      <c r="H42" s="83" t="n"/>
      <c r="I42" s="81">
        <f>IF(B42="","",IF(OR(D42="",E42=""),"PERCENTAGES MISSING",IF(AND(ISNUMBER(E42),E42&gt;=75,H42=""),"HIGH DEPENDENCY, NO OWNER","")))</f>
        <v/>
      </c>
    </row>
    <row r="43" ht="39.75" customHeight="1" s="40">
      <c r="A43" s="77" t="n"/>
      <c r="B43" s="78" t="n"/>
      <c r="C43" s="80" t="n"/>
      <c r="D43" s="88" t="n"/>
      <c r="E43" s="88" t="n"/>
      <c r="F43" s="78" t="n"/>
      <c r="G43" s="78" t="n"/>
      <c r="H43" s="78" t="n"/>
      <c r="I43" s="81">
        <f>IF(B43="","",IF(OR(D43="",E43=""),"PERCENTAGES MISSING",IF(AND(ISNUMBER(E43),E43&gt;=75,H43=""),"HIGH DEPENDENCY, NO OWNER","")))</f>
        <v/>
      </c>
    </row>
    <row r="44" ht="39.75" customHeight="1" s="40">
      <c r="A44" s="82" t="n"/>
      <c r="B44" s="83" t="n"/>
      <c r="C44" s="85" t="n"/>
      <c r="D44" s="89" t="n"/>
      <c r="E44" s="89" t="n"/>
      <c r="F44" s="83" t="n"/>
      <c r="G44" s="83" t="n"/>
      <c r="H44" s="83" t="n"/>
      <c r="I44" s="81">
        <f>IF(B44="","",IF(OR(D44="",E44=""),"PERCENTAGES MISSING",IF(AND(ISNUMBER(E44),E44&gt;=75,H44=""),"HIGH DEPENDENCY, NO OWNER","")))</f>
        <v/>
      </c>
    </row>
    <row r="45" ht="39.75" customHeight="1" s="40">
      <c r="A45" s="77" t="n"/>
      <c r="B45" s="78" t="n"/>
      <c r="C45" s="80" t="n"/>
      <c r="D45" s="88" t="n"/>
      <c r="E45" s="88" t="n"/>
      <c r="F45" s="78" t="n"/>
      <c r="G45" s="78" t="n"/>
      <c r="H45" s="78" t="n"/>
      <c r="I45" s="81">
        <f>IF(B45="","",IF(OR(D45="",E45=""),"PERCENTAGES MISSING",IF(AND(ISNUMBER(E45),E45&gt;=75,H45=""),"HIGH DEPENDENCY, NO OWNER","")))</f>
        <v/>
      </c>
    </row>
    <row r="46" ht="39.75" customHeight="1" s="40">
      <c r="A46" s="82" t="n"/>
      <c r="B46" s="83" t="n"/>
      <c r="C46" s="85" t="n"/>
      <c r="D46" s="89" t="n"/>
      <c r="E46" s="89" t="n"/>
      <c r="F46" s="83" t="n"/>
      <c r="G46" s="83" t="n"/>
      <c r="H46" s="83" t="n"/>
      <c r="I46" s="81">
        <f>IF(B46="","",IF(OR(D46="",E46=""),"PERCENTAGES MISSING",IF(AND(ISNUMBER(E46),E46&gt;=75,H46=""),"HIGH DEPENDENCY, NO OWNER","")))</f>
        <v/>
      </c>
    </row>
    <row r="47" ht="39.75" customHeight="1" s="40">
      <c r="A47" s="77" t="n"/>
      <c r="B47" s="78" t="n"/>
      <c r="C47" s="80" t="n"/>
      <c r="D47" s="88" t="n"/>
      <c r="E47" s="88" t="n"/>
      <c r="F47" s="78" t="n"/>
      <c r="G47" s="78" t="n"/>
      <c r="H47" s="78" t="n"/>
      <c r="I47" s="81">
        <f>IF(B47="","",IF(OR(D47="",E47=""),"PERCENTAGES MISSING",IF(AND(ISNUMBER(E47),E47&gt;=75,H47=""),"HIGH DEPENDENCY, NO OWNER","")))</f>
        <v/>
      </c>
    </row>
    <row r="48" ht="39.75" customHeight="1" s="40">
      <c r="A48" s="82" t="n"/>
      <c r="B48" s="83" t="n"/>
      <c r="C48" s="85" t="n"/>
      <c r="D48" s="89" t="n"/>
      <c r="E48" s="89" t="n"/>
      <c r="F48" s="83" t="n"/>
      <c r="G48" s="83" t="n"/>
      <c r="H48" s="83" t="n"/>
      <c r="I48" s="81">
        <f>IF(B48="","",IF(OR(D48="",E48=""),"PERCENTAGES MISSING",IF(AND(ISNUMBER(E48),E48&gt;=75,H48=""),"HIGH DEPENDENCY, NO OWNER","")))</f>
        <v/>
      </c>
    </row>
    <row r="49" ht="39.75" customHeight="1" s="40">
      <c r="A49" s="77" t="n"/>
      <c r="B49" s="78" t="n"/>
      <c r="C49" s="80" t="n"/>
      <c r="D49" s="88" t="n"/>
      <c r="E49" s="88" t="n"/>
      <c r="F49" s="78" t="n"/>
      <c r="G49" s="78" t="n"/>
      <c r="H49" s="78" t="n"/>
      <c r="I49" s="81">
        <f>IF(B49="","",IF(OR(D49="",E49=""),"PERCENTAGES MISSING",IF(AND(ISNUMBER(E49),E49&gt;=75,H49=""),"HIGH DEPENDENCY, NO OWNER","")))</f>
        <v/>
      </c>
    </row>
    <row r="50" ht="39.75" customHeight="1" s="40">
      <c r="A50" s="82" t="n"/>
      <c r="B50" s="83" t="n"/>
      <c r="C50" s="85" t="n"/>
      <c r="D50" s="89" t="n"/>
      <c r="E50" s="89" t="n"/>
      <c r="F50" s="83" t="n"/>
      <c r="G50" s="83" t="n"/>
      <c r="H50" s="83" t="n"/>
      <c r="I50" s="81">
        <f>IF(B50="","",IF(OR(D50="",E50=""),"PERCENTAGES MISSING",IF(AND(ISNUMBER(E50),E50&gt;=75,H50=""),"HIGH DEPENDENCY, NO OWNER","")))</f>
        <v/>
      </c>
    </row>
    <row r="51" ht="39.75" customHeight="1" s="40">
      <c r="A51" s="77" t="n"/>
      <c r="B51" s="78" t="n"/>
      <c r="C51" s="80" t="n"/>
      <c r="D51" s="88" t="n"/>
      <c r="E51" s="88" t="n"/>
      <c r="F51" s="78" t="n"/>
      <c r="G51" s="78" t="n"/>
      <c r="H51" s="78" t="n"/>
      <c r="I51" s="81">
        <f>IF(B51="","",IF(OR(D51="",E51=""),"PERCENTAGES MISSING",IF(AND(ISNUMBER(E51),E51&gt;=75,H51=""),"HIGH DEPENDENCY, NO OWNER","")))</f>
        <v/>
      </c>
    </row>
    <row r="52" ht="39.75" customHeight="1" s="40">
      <c r="A52" s="82" t="n"/>
      <c r="B52" s="83" t="n"/>
      <c r="C52" s="85" t="n"/>
      <c r="D52" s="89" t="n"/>
      <c r="E52" s="89" t="n"/>
      <c r="F52" s="83" t="n"/>
      <c r="G52" s="83" t="n"/>
      <c r="H52" s="83" t="n"/>
      <c r="I52" s="81">
        <f>IF(B52="","",IF(OR(D52="",E52=""),"PERCENTAGES MISSING",IF(AND(ISNUMBER(E52),E52&gt;=75,H52=""),"HIGH DEPENDENCY, NO OWNER","")))</f>
        <v/>
      </c>
    </row>
    <row r="53" ht="39.75" customHeight="1" s="40">
      <c r="A53" s="77" t="n"/>
      <c r="B53" s="78" t="n"/>
      <c r="C53" s="80" t="n"/>
      <c r="D53" s="88" t="n"/>
      <c r="E53" s="88" t="n"/>
      <c r="F53" s="78" t="n"/>
      <c r="G53" s="78" t="n"/>
      <c r="H53" s="78" t="n"/>
      <c r="I53" s="81">
        <f>IF(B53="","",IF(OR(D53="",E53=""),"PERCENTAGES MISSING",IF(AND(ISNUMBER(E53),E53&gt;=75,H53=""),"HIGH DEPENDENCY, NO OWNER","")))</f>
        <v/>
      </c>
    </row>
    <row r="54" ht="39.75" customHeight="1" s="40">
      <c r="A54" s="82" t="n"/>
      <c r="B54" s="83" t="n"/>
      <c r="C54" s="85" t="n"/>
      <c r="D54" s="89" t="n"/>
      <c r="E54" s="89" t="n"/>
      <c r="F54" s="83" t="n"/>
      <c r="G54" s="83" t="n"/>
      <c r="H54" s="83" t="n"/>
      <c r="I54" s="81">
        <f>IF(B54="","",IF(OR(D54="",E54=""),"PERCENTAGES MISSING",IF(AND(ISNUMBER(E54),E54&gt;=75,H54=""),"HIGH DEPENDENCY, NO OWNER","")))</f>
        <v/>
      </c>
    </row>
    <row r="55" ht="39.75" customHeight="1" s="40">
      <c r="A55" s="77" t="n"/>
      <c r="B55" s="78" t="n"/>
      <c r="C55" s="80" t="n"/>
      <c r="D55" s="88" t="n"/>
      <c r="E55" s="88" t="n"/>
      <c r="F55" s="78" t="n"/>
      <c r="G55" s="78" t="n"/>
      <c r="H55" s="78" t="n"/>
      <c r="I55" s="81">
        <f>IF(B55="","",IF(OR(D55="",E55=""),"PERCENTAGES MISSING",IF(AND(ISNUMBER(E55),E55&gt;=75,H55=""),"HIGH DEPENDENCY, NO OWNER","")))</f>
        <v/>
      </c>
    </row>
    <row r="56" ht="39.75" customHeight="1" s="40">
      <c r="A56" s="82" t="n"/>
      <c r="B56" s="83" t="n"/>
      <c r="C56" s="85" t="n"/>
      <c r="D56" s="89" t="n"/>
      <c r="E56" s="89" t="n"/>
      <c r="F56" s="83" t="n"/>
      <c r="G56" s="83" t="n"/>
      <c r="H56" s="83" t="n"/>
      <c r="I56" s="81">
        <f>IF(B56="","",IF(OR(D56="",E56=""),"PERCENTAGES MISSING",IF(AND(ISNUMBER(E56),E56&gt;=75,H56=""),"HIGH DEPENDENCY, NO OWNER","")))</f>
        <v/>
      </c>
    </row>
    <row r="57" ht="39.75" customHeight="1" s="40">
      <c r="A57" s="77" t="n"/>
      <c r="B57" s="78" t="n"/>
      <c r="C57" s="80" t="n"/>
      <c r="D57" s="88" t="n"/>
      <c r="E57" s="88" t="n"/>
      <c r="F57" s="78" t="n"/>
      <c r="G57" s="78" t="n"/>
      <c r="H57" s="78" t="n"/>
      <c r="I57" s="81">
        <f>IF(B57="","",IF(OR(D57="",E57=""),"PERCENTAGES MISSING",IF(AND(ISNUMBER(E57),E57&gt;=75,H57=""),"HIGH DEPENDENCY, NO OWNER","")))</f>
        <v/>
      </c>
    </row>
    <row r="58" ht="39.75" customHeight="1" s="40">
      <c r="A58" s="82" t="n"/>
      <c r="B58" s="83" t="n"/>
      <c r="C58" s="85" t="n"/>
      <c r="D58" s="89" t="n"/>
      <c r="E58" s="89" t="n"/>
      <c r="F58" s="83" t="n"/>
      <c r="G58" s="83" t="n"/>
      <c r="H58" s="83" t="n"/>
      <c r="I58" s="81">
        <f>IF(B58="","",IF(OR(D58="",E58=""),"PERCENTAGES MISSING",IF(AND(ISNUMBER(E58),E58&gt;=75,H58=""),"HIGH DEPENDENCY, NO OWNER","")))</f>
        <v/>
      </c>
    </row>
    <row r="59" ht="39.75" customHeight="1" s="40">
      <c r="A59" s="77" t="n"/>
      <c r="B59" s="78" t="n"/>
      <c r="C59" s="80" t="n"/>
      <c r="D59" s="88" t="n"/>
      <c r="E59" s="88" t="n"/>
      <c r="F59" s="78" t="n"/>
      <c r="G59" s="78" t="n"/>
      <c r="H59" s="78" t="n"/>
      <c r="I59" s="81">
        <f>IF(B59="","",IF(OR(D59="",E59=""),"PERCENTAGES MISSING",IF(AND(ISNUMBER(E59),E59&gt;=75,H59=""),"HIGH DEPENDENCY, NO OWNER","")))</f>
        <v/>
      </c>
    </row>
    <row r="60" ht="39.75" customHeight="1" s="40">
      <c r="A60" s="82" t="n"/>
      <c r="B60" s="83" t="n"/>
      <c r="C60" s="85" t="n"/>
      <c r="D60" s="89" t="n"/>
      <c r="E60" s="89" t="n"/>
      <c r="F60" s="83" t="n"/>
      <c r="G60" s="83" t="n"/>
      <c r="H60" s="83" t="n"/>
      <c r="I60" s="81">
        <f>IF(B60="","",IF(OR(D60="",E60=""),"PERCENTAGES MISSING",IF(AND(ISNUMBER(E60),E60&gt;=75,H60=""),"HIGH DEPENDENCY, NO OWNER","")))</f>
        <v/>
      </c>
    </row>
    <row r="61" ht="39.75" customHeight="1" s="40">
      <c r="A61" s="77" t="n"/>
      <c r="B61" s="78" t="n"/>
      <c r="C61" s="80" t="n"/>
      <c r="D61" s="88" t="n"/>
      <c r="E61" s="88" t="n"/>
      <c r="F61" s="78" t="n"/>
      <c r="G61" s="78" t="n"/>
      <c r="H61" s="78" t="n"/>
      <c r="I61" s="81">
        <f>IF(B61="","",IF(OR(D61="",E61=""),"PERCENTAGES MISSING",IF(AND(ISNUMBER(E61),E61&gt;=75,H61=""),"HIGH DEPENDENCY, NO OWNER","")))</f>
        <v/>
      </c>
    </row>
    <row r="62" ht="39.75" customHeight="1" s="40">
      <c r="A62" s="82" t="n"/>
      <c r="B62" s="83" t="n"/>
      <c r="C62" s="85" t="n"/>
      <c r="D62" s="89" t="n"/>
      <c r="E62" s="89" t="n"/>
      <c r="F62" s="83" t="n"/>
      <c r="G62" s="83" t="n"/>
      <c r="H62" s="83" t="n"/>
      <c r="I62" s="81">
        <f>IF(B62="","",IF(OR(D62="",E62=""),"PERCENTAGES MISSING",IF(AND(ISNUMBER(E62),E62&gt;=75,H62=""),"HIGH DEPENDENCY, NO OWNER","")))</f>
        <v/>
      </c>
    </row>
    <row r="63" ht="39.75" customHeight="1" s="40">
      <c r="A63" s="77" t="n"/>
      <c r="B63" s="78" t="n"/>
      <c r="C63" s="80" t="n"/>
      <c r="D63" s="88" t="n"/>
      <c r="E63" s="88" t="n"/>
      <c r="F63" s="78" t="n"/>
      <c r="G63" s="78" t="n"/>
      <c r="H63" s="78" t="n"/>
      <c r="I63" s="81">
        <f>IF(B63="","",IF(OR(D63="",E63=""),"PERCENTAGES MISSING",IF(AND(ISNUMBER(E63),E63&gt;=75,H63=""),"HIGH DEPENDENCY, NO OWNER","")))</f>
        <v/>
      </c>
    </row>
    <row r="64" ht="39.75" customHeight="1" s="40">
      <c r="A64" s="82" t="n"/>
      <c r="B64" s="83" t="n"/>
      <c r="C64" s="85" t="n"/>
      <c r="D64" s="89" t="n"/>
      <c r="E64" s="89" t="n"/>
      <c r="F64" s="83" t="n"/>
      <c r="G64" s="83" t="n"/>
      <c r="H64" s="83" t="n"/>
      <c r="I64" s="81">
        <f>IF(B64="","",IF(OR(D64="",E64=""),"PERCENTAGES MISSING",IF(AND(ISNUMBER(E64),E64&gt;=75,H64=""),"HIGH DEPENDENCY, NO OWNER","")))</f>
        <v/>
      </c>
    </row>
    <row r="65" ht="15.75" customHeight="1" s="40">
      <c r="A65" s="86" t="inlineStr">
        <is>
          <t>END OF FORM—rows below this line are not included in any calculation</t>
        </is>
      </c>
    </row>
  </sheetData>
  <sheetProtection selectLockedCells="0" selectUnlockedCells="0" sheet="1" objects="0" insertRows="1" insertHyperlinks="1" autoFilter="1" scenarios="0" formatColumns="1" deleteColumns="1" insertColumns="1" pivotTables="1" deleteRows="1" formatCells="1" formatRows="1" sort="1"/>
  <autoFilter ref="A4:I64"/>
  <mergeCells count="3">
    <mergeCell ref="A1:I1"/>
    <mergeCell ref="A65:I65"/>
    <mergeCell ref="A2:I2"/>
  </mergeCells>
  <conditionalFormatting sqref="I5:I64">
    <cfRule type="expression" rank="0" priority="2" equalAverage="0" aboveAverage="0" dxfId="6" text="" percent="0" bottom="0">
      <formula>$I5&lt;&gt;""</formula>
    </cfRule>
  </conditionalFormatting>
  <conditionalFormatting sqref="E5:E64">
    <cfRule type="cellIs" rank="0" priority="3" equalAverage="0" operator="greaterThanOrEqual" aboveAverage="0" dxfId="7" text="" percent="0" bottom="0">
      <formula>75</formula>
    </cfRule>
  </conditionalFormatting>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7.xml><?xml version="1.0" encoding="utf-8"?>
<worksheet xmlns="http://schemas.openxmlformats.org/spreadsheetml/2006/main">
  <sheetPr filterMode="0">
    <tabColor rgb="00CD232F"/>
    <outlinePr summaryBelow="1" summaryRight="1"/>
    <pageSetUpPr fitToPage="0"/>
  </sheetPr>
  <dimension ref="A1:G208"/>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70" min="1" max="1"/>
    <col width="18" customWidth="1" style="70" min="2" max="2"/>
    <col width="46" customWidth="1" style="70" min="3" max="3"/>
    <col width="24" customWidth="1" style="70" min="4" max="4"/>
    <col width="20" customWidth="1" style="70" min="5" max="5"/>
    <col width="12" customWidth="1" style="70" min="6" max="6"/>
    <col width="22" customWidth="1" style="70" min="7" max="7"/>
  </cols>
  <sheetData>
    <row r="1" ht="25.5" customHeight="1" s="40">
      <c r="A1" s="71" t="inlineStr">
        <is>
          <t>KNOWLEDGE INVENTORY</t>
        </is>
      </c>
    </row>
    <row r="2" ht="15.75" customHeight="1" s="40">
      <c r="A2" s="72" t="inlineStr">
        <is>
          <t>One row per PERSON, not per role. Filled in for everybody experienced, not only for whoever is leaving.</t>
        </is>
      </c>
    </row>
    <row r="3"/>
    <row r="4" ht="30" customHeight="1" s="40">
      <c r="A4" s="76" t="inlineStr">
        <is>
          <t>Ref</t>
        </is>
      </c>
      <c r="B4" s="76" t="inlineStr">
        <is>
          <t>Person</t>
        </is>
      </c>
      <c r="C4" s="76" t="inlineStr">
        <is>
          <t>What would stop, degrade, or take three times as long</t>
        </is>
      </c>
      <c r="D4" s="76" t="inlineStr">
        <is>
          <t>Category</t>
        </is>
      </c>
      <c r="E4" s="76" t="inlineStr">
        <is>
          <t>Who receives it</t>
        </is>
      </c>
      <c r="F4" s="76" t="inlineStr">
        <is>
          <t>Done?</t>
        </is>
      </c>
      <c r="G4" s="76" t="inlineStr">
        <is>
          <t>Flag</t>
        </is>
      </c>
    </row>
    <row r="5" ht="33.75" customHeight="1" s="40">
      <c r="A5" s="77" t="n"/>
      <c r="B5" s="78" t="n"/>
      <c r="C5" s="78" t="n"/>
      <c r="D5" s="78" t="n"/>
      <c r="E5" s="78" t="n"/>
      <c r="F5" s="77" t="n"/>
      <c r="G5" s="81">
        <f>IF(C5="","",IF(D5="","NOT CATEGORIZED",IF(AND(D5="apprenticeship",E5=""),"NOBODY NAMED TO RECEIVE IT","")))</f>
        <v/>
      </c>
    </row>
    <row r="6" ht="33.75" customHeight="1" s="40">
      <c r="A6" s="82" t="n"/>
      <c r="B6" s="83" t="n"/>
      <c r="C6" s="83" t="n"/>
      <c r="D6" s="83" t="n"/>
      <c r="E6" s="83" t="n"/>
      <c r="F6" s="82" t="n"/>
      <c r="G6" s="81">
        <f>IF(C6="","",IF(D6="","NOT CATEGORIZED",IF(AND(D6="apprenticeship",E6=""),"NOBODY NAMED TO RECEIVE IT","")))</f>
        <v/>
      </c>
    </row>
    <row r="7" ht="33.75" customHeight="1" s="40">
      <c r="A7" s="77" t="n"/>
      <c r="B7" s="78" t="n"/>
      <c r="C7" s="78" t="n"/>
      <c r="D7" s="78" t="n"/>
      <c r="E7" s="78" t="n"/>
      <c r="F7" s="77" t="n"/>
      <c r="G7" s="81">
        <f>IF(C7="","",IF(D7="","NOT CATEGORIZED",IF(AND(D7="apprenticeship",E7=""),"NOBODY NAMED TO RECEIVE IT","")))</f>
        <v/>
      </c>
    </row>
    <row r="8" ht="33.75" customHeight="1" s="40">
      <c r="A8" s="82" t="n"/>
      <c r="B8" s="83" t="n"/>
      <c r="C8" s="83" t="n"/>
      <c r="D8" s="83" t="n"/>
      <c r="E8" s="83" t="n"/>
      <c r="F8" s="82" t="n"/>
      <c r="G8" s="81">
        <f>IF(C8="","",IF(D8="","NOT CATEGORIZED",IF(AND(D8="apprenticeship",E8=""),"NOBODY NAMED TO RECEIVE IT","")))</f>
        <v/>
      </c>
    </row>
    <row r="9" ht="33.75" customHeight="1" s="40">
      <c r="A9" s="77" t="n"/>
      <c r="B9" s="78" t="n"/>
      <c r="C9" s="78" t="n"/>
      <c r="D9" s="78" t="n"/>
      <c r="E9" s="78" t="n"/>
      <c r="F9" s="77" t="n"/>
      <c r="G9" s="81">
        <f>IF(C9="","",IF(D9="","NOT CATEGORIZED",IF(AND(D9="apprenticeship",E9=""),"NOBODY NAMED TO RECEIVE IT","")))</f>
        <v/>
      </c>
    </row>
    <row r="10" ht="33.75" customHeight="1" s="40">
      <c r="A10" s="82" t="n"/>
      <c r="B10" s="83" t="n"/>
      <c r="C10" s="83" t="n"/>
      <c r="D10" s="83" t="n"/>
      <c r="E10" s="83" t="n"/>
      <c r="F10" s="82" t="n"/>
      <c r="G10" s="81">
        <f>IF(C10="","",IF(D10="","NOT CATEGORIZED",IF(AND(D10="apprenticeship",E10=""),"NOBODY NAMED TO RECEIVE IT","")))</f>
        <v/>
      </c>
    </row>
    <row r="11" ht="33.75" customHeight="1" s="40">
      <c r="A11" s="77" t="n"/>
      <c r="B11" s="78" t="n"/>
      <c r="C11" s="78" t="n"/>
      <c r="D11" s="78" t="n"/>
      <c r="E11" s="78" t="n"/>
      <c r="F11" s="77" t="n"/>
      <c r="G11" s="81">
        <f>IF(C11="","",IF(D11="","NOT CATEGORIZED",IF(AND(D11="apprenticeship",E11=""),"NOBODY NAMED TO RECEIVE IT","")))</f>
        <v/>
      </c>
    </row>
    <row r="12" ht="33.75" customHeight="1" s="40">
      <c r="A12" s="82" t="n"/>
      <c r="B12" s="83" t="n"/>
      <c r="C12" s="83" t="n"/>
      <c r="D12" s="83" t="n"/>
      <c r="E12" s="83" t="n"/>
      <c r="F12" s="82" t="n"/>
      <c r="G12" s="81">
        <f>IF(C12="","",IF(D12="","NOT CATEGORIZED",IF(AND(D12="apprenticeship",E12=""),"NOBODY NAMED TO RECEIVE IT","")))</f>
        <v/>
      </c>
    </row>
    <row r="13" ht="33.75" customHeight="1" s="40">
      <c r="A13" s="77" t="n"/>
      <c r="B13" s="78" t="n"/>
      <c r="C13" s="78" t="n"/>
      <c r="D13" s="78" t="n"/>
      <c r="E13" s="78" t="n"/>
      <c r="F13" s="77" t="n"/>
      <c r="G13" s="81">
        <f>IF(C13="","",IF(D13="","NOT CATEGORIZED",IF(AND(D13="apprenticeship",E13=""),"NOBODY NAMED TO RECEIVE IT","")))</f>
        <v/>
      </c>
    </row>
    <row r="14" ht="33.75" customHeight="1" s="40">
      <c r="A14" s="82" t="n"/>
      <c r="B14" s="83" t="n"/>
      <c r="C14" s="83" t="n"/>
      <c r="D14" s="83" t="n"/>
      <c r="E14" s="83" t="n"/>
      <c r="F14" s="82" t="n"/>
      <c r="G14" s="81">
        <f>IF(C14="","",IF(D14="","NOT CATEGORIZED",IF(AND(D14="apprenticeship",E14=""),"NOBODY NAMED TO RECEIVE IT","")))</f>
        <v/>
      </c>
    </row>
    <row r="15" ht="33.75" customHeight="1" s="40">
      <c r="A15" s="77" t="n"/>
      <c r="B15" s="78" t="n"/>
      <c r="C15" s="78" t="n"/>
      <c r="D15" s="78" t="n"/>
      <c r="E15" s="78" t="n"/>
      <c r="F15" s="77" t="n"/>
      <c r="G15" s="81">
        <f>IF(C15="","",IF(D15="","NOT CATEGORIZED",IF(AND(D15="apprenticeship",E15=""),"NOBODY NAMED TO RECEIVE IT","")))</f>
        <v/>
      </c>
    </row>
    <row r="16" ht="33.75" customHeight="1" s="40">
      <c r="A16" s="82" t="n"/>
      <c r="B16" s="83" t="n"/>
      <c r="C16" s="83" t="n"/>
      <c r="D16" s="83" t="n"/>
      <c r="E16" s="83" t="n"/>
      <c r="F16" s="82" t="n"/>
      <c r="G16" s="81">
        <f>IF(C16="","",IF(D16="","NOT CATEGORIZED",IF(AND(D16="apprenticeship",E16=""),"NOBODY NAMED TO RECEIVE IT","")))</f>
        <v/>
      </c>
    </row>
    <row r="17" ht="33.75" customHeight="1" s="40">
      <c r="A17" s="77" t="n"/>
      <c r="B17" s="78" t="n"/>
      <c r="C17" s="78" t="n"/>
      <c r="D17" s="78" t="n"/>
      <c r="E17" s="78" t="n"/>
      <c r="F17" s="77" t="n"/>
      <c r="G17" s="81">
        <f>IF(C17="","",IF(D17="","NOT CATEGORIZED",IF(AND(D17="apprenticeship",E17=""),"NOBODY NAMED TO RECEIVE IT","")))</f>
        <v/>
      </c>
    </row>
    <row r="18" ht="33.75" customHeight="1" s="40">
      <c r="A18" s="82" t="n"/>
      <c r="B18" s="83" t="n"/>
      <c r="C18" s="83" t="n"/>
      <c r="D18" s="83" t="n"/>
      <c r="E18" s="83" t="n"/>
      <c r="F18" s="82" t="n"/>
      <c r="G18" s="81">
        <f>IF(C18="","",IF(D18="","NOT CATEGORIZED",IF(AND(D18="apprenticeship",E18=""),"NOBODY NAMED TO RECEIVE IT","")))</f>
        <v/>
      </c>
    </row>
    <row r="19" ht="33.75" customHeight="1" s="40">
      <c r="A19" s="77" t="n"/>
      <c r="B19" s="78" t="n"/>
      <c r="C19" s="78" t="n"/>
      <c r="D19" s="78" t="n"/>
      <c r="E19" s="78" t="n"/>
      <c r="F19" s="77" t="n"/>
      <c r="G19" s="81">
        <f>IF(C19="","",IF(D19="","NOT CATEGORIZED",IF(AND(D19="apprenticeship",E19=""),"NOBODY NAMED TO RECEIVE IT","")))</f>
        <v/>
      </c>
    </row>
    <row r="20" ht="33.75" customHeight="1" s="40">
      <c r="A20" s="82" t="n"/>
      <c r="B20" s="83" t="n"/>
      <c r="C20" s="83" t="n"/>
      <c r="D20" s="83" t="n"/>
      <c r="E20" s="83" t="n"/>
      <c r="F20" s="82" t="n"/>
      <c r="G20" s="81">
        <f>IF(C20="","",IF(D20="","NOT CATEGORIZED",IF(AND(D20="apprenticeship",E20=""),"NOBODY NAMED TO RECEIVE IT","")))</f>
        <v/>
      </c>
    </row>
    <row r="21" ht="33.75" customHeight="1" s="40">
      <c r="A21" s="77" t="n"/>
      <c r="B21" s="78" t="n"/>
      <c r="C21" s="78" t="n"/>
      <c r="D21" s="78" t="n"/>
      <c r="E21" s="78" t="n"/>
      <c r="F21" s="77" t="n"/>
      <c r="G21" s="81">
        <f>IF(C21="","",IF(D21="","NOT CATEGORIZED",IF(AND(D21="apprenticeship",E21=""),"NOBODY NAMED TO RECEIVE IT","")))</f>
        <v/>
      </c>
    </row>
    <row r="22" ht="33.75" customHeight="1" s="40">
      <c r="A22" s="82" t="n"/>
      <c r="B22" s="83" t="n"/>
      <c r="C22" s="83" t="n"/>
      <c r="D22" s="83" t="n"/>
      <c r="E22" s="83" t="n"/>
      <c r="F22" s="82" t="n"/>
      <c r="G22" s="81">
        <f>IF(C22="","",IF(D22="","NOT CATEGORIZED",IF(AND(D22="apprenticeship",E22=""),"NOBODY NAMED TO RECEIVE IT","")))</f>
        <v/>
      </c>
    </row>
    <row r="23" ht="33.75" customHeight="1" s="40">
      <c r="A23" s="77" t="n"/>
      <c r="B23" s="78" t="n"/>
      <c r="C23" s="78" t="n"/>
      <c r="D23" s="78" t="n"/>
      <c r="E23" s="78" t="n"/>
      <c r="F23" s="77" t="n"/>
      <c r="G23" s="81">
        <f>IF(C23="","",IF(D23="","NOT CATEGORIZED",IF(AND(D23="apprenticeship",E23=""),"NOBODY NAMED TO RECEIVE IT","")))</f>
        <v/>
      </c>
    </row>
    <row r="24" ht="33.75" customHeight="1" s="40">
      <c r="A24" s="82" t="n"/>
      <c r="B24" s="83" t="n"/>
      <c r="C24" s="83" t="n"/>
      <c r="D24" s="83" t="n"/>
      <c r="E24" s="83" t="n"/>
      <c r="F24" s="82" t="n"/>
      <c r="G24" s="81">
        <f>IF(C24="","",IF(D24="","NOT CATEGORIZED",IF(AND(D24="apprenticeship",E24=""),"NOBODY NAMED TO RECEIVE IT","")))</f>
        <v/>
      </c>
    </row>
    <row r="25" ht="33.75" customHeight="1" s="40">
      <c r="A25" s="77" t="n"/>
      <c r="B25" s="78" t="n"/>
      <c r="C25" s="78" t="n"/>
      <c r="D25" s="78" t="n"/>
      <c r="E25" s="78" t="n"/>
      <c r="F25" s="77" t="n"/>
      <c r="G25" s="81">
        <f>IF(C25="","",IF(D25="","NOT CATEGORIZED",IF(AND(D25="apprenticeship",E25=""),"NOBODY NAMED TO RECEIVE IT","")))</f>
        <v/>
      </c>
    </row>
    <row r="26" ht="33.75" customHeight="1" s="40">
      <c r="A26" s="82" t="n"/>
      <c r="B26" s="83" t="n"/>
      <c r="C26" s="83" t="n"/>
      <c r="D26" s="83" t="n"/>
      <c r="E26" s="83" t="n"/>
      <c r="F26" s="82" t="n"/>
      <c r="G26" s="81">
        <f>IF(C26="","",IF(D26="","NOT CATEGORIZED",IF(AND(D26="apprenticeship",E26=""),"NOBODY NAMED TO RECEIVE IT","")))</f>
        <v/>
      </c>
    </row>
    <row r="27" ht="33.75" customHeight="1" s="40">
      <c r="A27" s="77" t="n"/>
      <c r="B27" s="78" t="n"/>
      <c r="C27" s="78" t="n"/>
      <c r="D27" s="78" t="n"/>
      <c r="E27" s="78" t="n"/>
      <c r="F27" s="77" t="n"/>
      <c r="G27" s="81">
        <f>IF(C27="","",IF(D27="","NOT CATEGORIZED",IF(AND(D27="apprenticeship",E27=""),"NOBODY NAMED TO RECEIVE IT","")))</f>
        <v/>
      </c>
    </row>
    <row r="28" ht="33.75" customHeight="1" s="40">
      <c r="A28" s="82" t="n"/>
      <c r="B28" s="83" t="n"/>
      <c r="C28" s="83" t="n"/>
      <c r="D28" s="83" t="n"/>
      <c r="E28" s="83" t="n"/>
      <c r="F28" s="82" t="n"/>
      <c r="G28" s="81">
        <f>IF(C28="","",IF(D28="","NOT CATEGORIZED",IF(AND(D28="apprenticeship",E28=""),"NOBODY NAMED TO RECEIVE IT","")))</f>
        <v/>
      </c>
    </row>
    <row r="29" ht="33.75" customHeight="1" s="40">
      <c r="A29" s="77" t="n"/>
      <c r="B29" s="78" t="n"/>
      <c r="C29" s="78" t="n"/>
      <c r="D29" s="78" t="n"/>
      <c r="E29" s="78" t="n"/>
      <c r="F29" s="77" t="n"/>
      <c r="G29" s="81">
        <f>IF(C29="","",IF(D29="","NOT CATEGORIZED",IF(AND(D29="apprenticeship",E29=""),"NOBODY NAMED TO RECEIVE IT","")))</f>
        <v/>
      </c>
    </row>
    <row r="30" ht="33.75" customHeight="1" s="40">
      <c r="A30" s="82" t="n"/>
      <c r="B30" s="83" t="n"/>
      <c r="C30" s="83" t="n"/>
      <c r="D30" s="83" t="n"/>
      <c r="E30" s="83" t="n"/>
      <c r="F30" s="82" t="n"/>
      <c r="G30" s="81">
        <f>IF(C30="","",IF(D30="","NOT CATEGORIZED",IF(AND(D30="apprenticeship",E30=""),"NOBODY NAMED TO RECEIVE IT","")))</f>
        <v/>
      </c>
    </row>
    <row r="31" ht="33.75" customHeight="1" s="40">
      <c r="A31" s="77" t="n"/>
      <c r="B31" s="78" t="n"/>
      <c r="C31" s="78" t="n"/>
      <c r="D31" s="78" t="n"/>
      <c r="E31" s="78" t="n"/>
      <c r="F31" s="77" t="n"/>
      <c r="G31" s="81">
        <f>IF(C31="","",IF(D31="","NOT CATEGORIZED",IF(AND(D31="apprenticeship",E31=""),"NOBODY NAMED TO RECEIVE IT","")))</f>
        <v/>
      </c>
    </row>
    <row r="32" ht="33.75" customHeight="1" s="40">
      <c r="A32" s="82" t="n"/>
      <c r="B32" s="83" t="n"/>
      <c r="C32" s="83" t="n"/>
      <c r="D32" s="83" t="n"/>
      <c r="E32" s="83" t="n"/>
      <c r="F32" s="82" t="n"/>
      <c r="G32" s="81">
        <f>IF(C32="","",IF(D32="","NOT CATEGORIZED",IF(AND(D32="apprenticeship",E32=""),"NOBODY NAMED TO RECEIVE IT","")))</f>
        <v/>
      </c>
    </row>
    <row r="33" ht="33.75" customHeight="1" s="40">
      <c r="A33" s="77" t="n"/>
      <c r="B33" s="78" t="n"/>
      <c r="C33" s="78" t="n"/>
      <c r="D33" s="78" t="n"/>
      <c r="E33" s="78" t="n"/>
      <c r="F33" s="77" t="n"/>
      <c r="G33" s="81">
        <f>IF(C33="","",IF(D33="","NOT CATEGORIZED",IF(AND(D33="apprenticeship",E33=""),"NOBODY NAMED TO RECEIVE IT","")))</f>
        <v/>
      </c>
    </row>
    <row r="34" ht="33.75" customHeight="1" s="40">
      <c r="A34" s="82" t="n"/>
      <c r="B34" s="83" t="n"/>
      <c r="C34" s="83" t="n"/>
      <c r="D34" s="83" t="n"/>
      <c r="E34" s="83" t="n"/>
      <c r="F34" s="82" t="n"/>
      <c r="G34" s="81">
        <f>IF(C34="","",IF(D34="","NOT CATEGORIZED",IF(AND(D34="apprenticeship",E34=""),"NOBODY NAMED TO RECEIVE IT","")))</f>
        <v/>
      </c>
    </row>
    <row r="35" ht="33.75" customHeight="1" s="40">
      <c r="A35" s="77" t="n"/>
      <c r="B35" s="78" t="n"/>
      <c r="C35" s="78" t="n"/>
      <c r="D35" s="78" t="n"/>
      <c r="E35" s="78" t="n"/>
      <c r="F35" s="77" t="n"/>
      <c r="G35" s="81">
        <f>IF(C35="","",IF(D35="","NOT CATEGORIZED",IF(AND(D35="apprenticeship",E35=""),"NOBODY NAMED TO RECEIVE IT","")))</f>
        <v/>
      </c>
    </row>
    <row r="36" ht="33.75" customHeight="1" s="40">
      <c r="A36" s="82" t="n"/>
      <c r="B36" s="83" t="n"/>
      <c r="C36" s="83" t="n"/>
      <c r="D36" s="83" t="n"/>
      <c r="E36" s="83" t="n"/>
      <c r="F36" s="82" t="n"/>
      <c r="G36" s="81">
        <f>IF(C36="","",IF(D36="","NOT CATEGORIZED",IF(AND(D36="apprenticeship",E36=""),"NOBODY NAMED TO RECEIVE IT","")))</f>
        <v/>
      </c>
    </row>
    <row r="37" ht="33.75" customHeight="1" s="40">
      <c r="A37" s="77" t="n"/>
      <c r="B37" s="78" t="n"/>
      <c r="C37" s="78" t="n"/>
      <c r="D37" s="78" t="n"/>
      <c r="E37" s="78" t="n"/>
      <c r="F37" s="77" t="n"/>
      <c r="G37" s="81">
        <f>IF(C37="","",IF(D37="","NOT CATEGORIZED",IF(AND(D37="apprenticeship",E37=""),"NOBODY NAMED TO RECEIVE IT","")))</f>
        <v/>
      </c>
    </row>
    <row r="38" ht="33.75" customHeight="1" s="40">
      <c r="A38" s="82" t="n"/>
      <c r="B38" s="83" t="n"/>
      <c r="C38" s="83" t="n"/>
      <c r="D38" s="83" t="n"/>
      <c r="E38" s="83" t="n"/>
      <c r="F38" s="82" t="n"/>
      <c r="G38" s="81">
        <f>IF(C38="","",IF(D38="","NOT CATEGORIZED",IF(AND(D38="apprenticeship",E38=""),"NOBODY NAMED TO RECEIVE IT","")))</f>
        <v/>
      </c>
    </row>
    <row r="39" ht="33.75" customHeight="1" s="40">
      <c r="A39" s="77" t="n"/>
      <c r="B39" s="78" t="n"/>
      <c r="C39" s="78" t="n"/>
      <c r="D39" s="78" t="n"/>
      <c r="E39" s="78" t="n"/>
      <c r="F39" s="77" t="n"/>
      <c r="G39" s="81">
        <f>IF(C39="","",IF(D39="","NOT CATEGORIZED",IF(AND(D39="apprenticeship",E39=""),"NOBODY NAMED TO RECEIVE IT","")))</f>
        <v/>
      </c>
    </row>
    <row r="40" ht="33.75" customHeight="1" s="40">
      <c r="A40" s="82" t="n"/>
      <c r="B40" s="83" t="n"/>
      <c r="C40" s="83" t="n"/>
      <c r="D40" s="83" t="n"/>
      <c r="E40" s="83" t="n"/>
      <c r="F40" s="82" t="n"/>
      <c r="G40" s="81">
        <f>IF(C40="","",IF(D40="","NOT CATEGORIZED",IF(AND(D40="apprenticeship",E40=""),"NOBODY NAMED TO RECEIVE IT","")))</f>
        <v/>
      </c>
    </row>
    <row r="41" ht="33.75" customHeight="1" s="40">
      <c r="A41" s="77" t="n"/>
      <c r="B41" s="78" t="n"/>
      <c r="C41" s="78" t="n"/>
      <c r="D41" s="78" t="n"/>
      <c r="E41" s="78" t="n"/>
      <c r="F41" s="77" t="n"/>
      <c r="G41" s="81">
        <f>IF(C41="","",IF(D41="","NOT CATEGORIZED",IF(AND(D41="apprenticeship",E41=""),"NOBODY NAMED TO RECEIVE IT","")))</f>
        <v/>
      </c>
    </row>
    <row r="42" ht="33.75" customHeight="1" s="40">
      <c r="A42" s="82" t="n"/>
      <c r="B42" s="83" t="n"/>
      <c r="C42" s="83" t="n"/>
      <c r="D42" s="83" t="n"/>
      <c r="E42" s="83" t="n"/>
      <c r="F42" s="82" t="n"/>
      <c r="G42" s="81">
        <f>IF(C42="","",IF(D42="","NOT CATEGORIZED",IF(AND(D42="apprenticeship",E42=""),"NOBODY NAMED TO RECEIVE IT","")))</f>
        <v/>
      </c>
    </row>
    <row r="43" ht="33.75" customHeight="1" s="40">
      <c r="A43" s="77" t="n"/>
      <c r="B43" s="78" t="n"/>
      <c r="C43" s="78" t="n"/>
      <c r="D43" s="78" t="n"/>
      <c r="E43" s="78" t="n"/>
      <c r="F43" s="77" t="n"/>
      <c r="G43" s="81">
        <f>IF(C43="","",IF(D43="","NOT CATEGORIZED",IF(AND(D43="apprenticeship",E43=""),"NOBODY NAMED TO RECEIVE IT","")))</f>
        <v/>
      </c>
    </row>
    <row r="44" ht="33.75" customHeight="1" s="40">
      <c r="A44" s="82" t="n"/>
      <c r="B44" s="83" t="n"/>
      <c r="C44" s="83" t="n"/>
      <c r="D44" s="83" t="n"/>
      <c r="E44" s="83" t="n"/>
      <c r="F44" s="82" t="n"/>
      <c r="G44" s="81">
        <f>IF(C44="","",IF(D44="","NOT CATEGORIZED",IF(AND(D44="apprenticeship",E44=""),"NOBODY NAMED TO RECEIVE IT","")))</f>
        <v/>
      </c>
    </row>
    <row r="45" ht="33.75" customHeight="1" s="40">
      <c r="A45" s="77" t="n"/>
      <c r="B45" s="78" t="n"/>
      <c r="C45" s="78" t="n"/>
      <c r="D45" s="78" t="n"/>
      <c r="E45" s="78" t="n"/>
      <c r="F45" s="77" t="n"/>
      <c r="G45" s="81">
        <f>IF(C45="","",IF(D45="","NOT CATEGORIZED",IF(AND(D45="apprenticeship",E45=""),"NOBODY NAMED TO RECEIVE IT","")))</f>
        <v/>
      </c>
    </row>
    <row r="46" ht="33.75" customHeight="1" s="40">
      <c r="A46" s="82" t="n"/>
      <c r="B46" s="83" t="n"/>
      <c r="C46" s="83" t="n"/>
      <c r="D46" s="83" t="n"/>
      <c r="E46" s="83" t="n"/>
      <c r="F46" s="82" t="n"/>
      <c r="G46" s="81">
        <f>IF(C46="","",IF(D46="","NOT CATEGORIZED",IF(AND(D46="apprenticeship",E46=""),"NOBODY NAMED TO RECEIVE IT","")))</f>
        <v/>
      </c>
    </row>
    <row r="47" ht="33.75" customHeight="1" s="40">
      <c r="A47" s="77" t="n"/>
      <c r="B47" s="78" t="n"/>
      <c r="C47" s="78" t="n"/>
      <c r="D47" s="78" t="n"/>
      <c r="E47" s="78" t="n"/>
      <c r="F47" s="77" t="n"/>
      <c r="G47" s="81">
        <f>IF(C47="","",IF(D47="","NOT CATEGORIZED",IF(AND(D47="apprenticeship",E47=""),"NOBODY NAMED TO RECEIVE IT","")))</f>
        <v/>
      </c>
    </row>
    <row r="48" ht="33.75" customHeight="1" s="40">
      <c r="A48" s="82" t="n"/>
      <c r="B48" s="83" t="n"/>
      <c r="C48" s="83" t="n"/>
      <c r="D48" s="83" t="n"/>
      <c r="E48" s="83" t="n"/>
      <c r="F48" s="82" t="n"/>
      <c r="G48" s="81">
        <f>IF(C48="","",IF(D48="","NOT CATEGORIZED",IF(AND(D48="apprenticeship",E48=""),"NOBODY NAMED TO RECEIVE IT","")))</f>
        <v/>
      </c>
    </row>
    <row r="49" ht="33.75" customHeight="1" s="40">
      <c r="A49" s="77" t="n"/>
      <c r="B49" s="78" t="n"/>
      <c r="C49" s="78" t="n"/>
      <c r="D49" s="78" t="n"/>
      <c r="E49" s="78" t="n"/>
      <c r="F49" s="77" t="n"/>
      <c r="G49" s="81">
        <f>IF(C49="","",IF(D49="","NOT CATEGORIZED",IF(AND(D49="apprenticeship",E49=""),"NOBODY NAMED TO RECEIVE IT","")))</f>
        <v/>
      </c>
    </row>
    <row r="50" ht="33.75" customHeight="1" s="40">
      <c r="A50" s="82" t="n"/>
      <c r="B50" s="83" t="n"/>
      <c r="C50" s="83" t="n"/>
      <c r="D50" s="83" t="n"/>
      <c r="E50" s="83" t="n"/>
      <c r="F50" s="82" t="n"/>
      <c r="G50" s="81">
        <f>IF(C50="","",IF(D50="","NOT CATEGORIZED",IF(AND(D50="apprenticeship",E50=""),"NOBODY NAMED TO RECEIVE IT","")))</f>
        <v/>
      </c>
    </row>
    <row r="51" ht="33.75" customHeight="1" s="40">
      <c r="A51" s="77" t="n"/>
      <c r="B51" s="78" t="n"/>
      <c r="C51" s="78" t="n"/>
      <c r="D51" s="78" t="n"/>
      <c r="E51" s="78" t="n"/>
      <c r="F51" s="77" t="n"/>
      <c r="G51" s="81">
        <f>IF(C51="","",IF(D51="","NOT CATEGORIZED",IF(AND(D51="apprenticeship",E51=""),"NOBODY NAMED TO RECEIVE IT","")))</f>
        <v/>
      </c>
    </row>
    <row r="52" ht="33.75" customHeight="1" s="40">
      <c r="A52" s="82" t="n"/>
      <c r="B52" s="83" t="n"/>
      <c r="C52" s="83" t="n"/>
      <c r="D52" s="83" t="n"/>
      <c r="E52" s="83" t="n"/>
      <c r="F52" s="82" t="n"/>
      <c r="G52" s="81">
        <f>IF(C52="","",IF(D52="","NOT CATEGORIZED",IF(AND(D52="apprenticeship",E52=""),"NOBODY NAMED TO RECEIVE IT","")))</f>
        <v/>
      </c>
    </row>
    <row r="53" ht="33.75" customHeight="1" s="40">
      <c r="A53" s="77" t="n"/>
      <c r="B53" s="78" t="n"/>
      <c r="C53" s="78" t="n"/>
      <c r="D53" s="78" t="n"/>
      <c r="E53" s="78" t="n"/>
      <c r="F53" s="77" t="n"/>
      <c r="G53" s="81">
        <f>IF(C53="","",IF(D53="","NOT CATEGORIZED",IF(AND(D53="apprenticeship",E53=""),"NOBODY NAMED TO RECEIVE IT","")))</f>
        <v/>
      </c>
    </row>
    <row r="54" ht="33.75" customHeight="1" s="40">
      <c r="A54" s="82" t="n"/>
      <c r="B54" s="83" t="n"/>
      <c r="C54" s="83" t="n"/>
      <c r="D54" s="83" t="n"/>
      <c r="E54" s="83" t="n"/>
      <c r="F54" s="82" t="n"/>
      <c r="G54" s="81">
        <f>IF(C54="","",IF(D54="","NOT CATEGORIZED",IF(AND(D54="apprenticeship",E54=""),"NOBODY NAMED TO RECEIVE IT","")))</f>
        <v/>
      </c>
    </row>
    <row r="55" ht="33.75" customHeight="1" s="40">
      <c r="A55" s="77" t="n"/>
      <c r="B55" s="78" t="n"/>
      <c r="C55" s="78" t="n"/>
      <c r="D55" s="78" t="n"/>
      <c r="E55" s="78" t="n"/>
      <c r="F55" s="77" t="n"/>
      <c r="G55" s="81">
        <f>IF(C55="","",IF(D55="","NOT CATEGORIZED",IF(AND(D55="apprenticeship",E55=""),"NOBODY NAMED TO RECEIVE IT","")))</f>
        <v/>
      </c>
    </row>
    <row r="56" ht="33.75" customHeight="1" s="40">
      <c r="A56" s="82" t="n"/>
      <c r="B56" s="83" t="n"/>
      <c r="C56" s="83" t="n"/>
      <c r="D56" s="83" t="n"/>
      <c r="E56" s="83" t="n"/>
      <c r="F56" s="82" t="n"/>
      <c r="G56" s="81">
        <f>IF(C56="","",IF(D56="","NOT CATEGORIZED",IF(AND(D56="apprenticeship",E56=""),"NOBODY NAMED TO RECEIVE IT","")))</f>
        <v/>
      </c>
    </row>
    <row r="57" ht="33.75" customHeight="1" s="40">
      <c r="A57" s="77" t="n"/>
      <c r="B57" s="78" t="n"/>
      <c r="C57" s="78" t="n"/>
      <c r="D57" s="78" t="n"/>
      <c r="E57" s="78" t="n"/>
      <c r="F57" s="77" t="n"/>
      <c r="G57" s="81">
        <f>IF(C57="","",IF(D57="","NOT CATEGORIZED",IF(AND(D57="apprenticeship",E57=""),"NOBODY NAMED TO RECEIVE IT","")))</f>
        <v/>
      </c>
    </row>
    <row r="58" ht="33.75" customHeight="1" s="40">
      <c r="A58" s="82" t="n"/>
      <c r="B58" s="83" t="n"/>
      <c r="C58" s="83" t="n"/>
      <c r="D58" s="83" t="n"/>
      <c r="E58" s="83" t="n"/>
      <c r="F58" s="82" t="n"/>
      <c r="G58" s="81">
        <f>IF(C58="","",IF(D58="","NOT CATEGORIZED",IF(AND(D58="apprenticeship",E58=""),"NOBODY NAMED TO RECEIVE IT","")))</f>
        <v/>
      </c>
    </row>
    <row r="59" ht="33.75" customHeight="1" s="40">
      <c r="A59" s="77" t="n"/>
      <c r="B59" s="78" t="n"/>
      <c r="C59" s="78" t="n"/>
      <c r="D59" s="78" t="n"/>
      <c r="E59" s="78" t="n"/>
      <c r="F59" s="77" t="n"/>
      <c r="G59" s="81">
        <f>IF(C59="","",IF(D59="","NOT CATEGORIZED",IF(AND(D59="apprenticeship",E59=""),"NOBODY NAMED TO RECEIVE IT","")))</f>
        <v/>
      </c>
    </row>
    <row r="60" ht="33.75" customHeight="1" s="40">
      <c r="A60" s="82" t="n"/>
      <c r="B60" s="83" t="n"/>
      <c r="C60" s="83" t="n"/>
      <c r="D60" s="83" t="n"/>
      <c r="E60" s="83" t="n"/>
      <c r="F60" s="82" t="n"/>
      <c r="G60" s="81">
        <f>IF(C60="","",IF(D60="","NOT CATEGORIZED",IF(AND(D60="apprenticeship",E60=""),"NOBODY NAMED TO RECEIVE IT","")))</f>
        <v/>
      </c>
    </row>
    <row r="61" ht="33.75" customHeight="1" s="40">
      <c r="A61" s="77" t="n"/>
      <c r="B61" s="78" t="n"/>
      <c r="C61" s="78" t="n"/>
      <c r="D61" s="78" t="n"/>
      <c r="E61" s="78" t="n"/>
      <c r="F61" s="77" t="n"/>
      <c r="G61" s="81">
        <f>IF(C61="","",IF(D61="","NOT CATEGORIZED",IF(AND(D61="apprenticeship",E61=""),"NOBODY NAMED TO RECEIVE IT","")))</f>
        <v/>
      </c>
    </row>
    <row r="62" ht="33.75" customHeight="1" s="40">
      <c r="A62" s="82" t="n"/>
      <c r="B62" s="83" t="n"/>
      <c r="C62" s="83" t="n"/>
      <c r="D62" s="83" t="n"/>
      <c r="E62" s="83" t="n"/>
      <c r="F62" s="82" t="n"/>
      <c r="G62" s="81">
        <f>IF(C62="","",IF(D62="","NOT CATEGORIZED",IF(AND(D62="apprenticeship",E62=""),"NOBODY NAMED TO RECEIVE IT","")))</f>
        <v/>
      </c>
    </row>
    <row r="63" ht="33.75" customHeight="1" s="40">
      <c r="A63" s="77" t="n"/>
      <c r="B63" s="78" t="n"/>
      <c r="C63" s="78" t="n"/>
      <c r="D63" s="78" t="n"/>
      <c r="E63" s="78" t="n"/>
      <c r="F63" s="77" t="n"/>
      <c r="G63" s="81">
        <f>IF(C63="","",IF(D63="","NOT CATEGORIZED",IF(AND(D63="apprenticeship",E63=""),"NOBODY NAMED TO RECEIVE IT","")))</f>
        <v/>
      </c>
    </row>
    <row r="64" ht="33.75" customHeight="1" s="40">
      <c r="A64" s="82" t="n"/>
      <c r="B64" s="83" t="n"/>
      <c r="C64" s="83" t="n"/>
      <c r="D64" s="83" t="n"/>
      <c r="E64" s="83" t="n"/>
      <c r="F64" s="82" t="n"/>
      <c r="G64" s="81">
        <f>IF(C64="","",IF(D64="","NOT CATEGORIZED",IF(AND(D64="apprenticeship",E64=""),"NOBODY NAMED TO RECEIVE IT","")))</f>
        <v/>
      </c>
    </row>
    <row r="65" ht="33.75" customHeight="1" s="40">
      <c r="A65" s="77" t="n"/>
      <c r="B65" s="78" t="n"/>
      <c r="C65" s="78" t="n"/>
      <c r="D65" s="78" t="n"/>
      <c r="E65" s="78" t="n"/>
      <c r="F65" s="77" t="n"/>
      <c r="G65" s="81">
        <f>IF(C65="","",IF(D65="","NOT CATEGORIZED",IF(AND(D65="apprenticeship",E65=""),"NOBODY NAMED TO RECEIVE IT","")))</f>
        <v/>
      </c>
    </row>
    <row r="66" ht="33.75" customHeight="1" s="40">
      <c r="A66" s="82" t="n"/>
      <c r="B66" s="83" t="n"/>
      <c r="C66" s="83" t="n"/>
      <c r="D66" s="83" t="n"/>
      <c r="E66" s="83" t="n"/>
      <c r="F66" s="82" t="n"/>
      <c r="G66" s="81">
        <f>IF(C66="","",IF(D66="","NOT CATEGORIZED",IF(AND(D66="apprenticeship",E66=""),"NOBODY NAMED TO RECEIVE IT","")))</f>
        <v/>
      </c>
    </row>
    <row r="67" ht="33.75" customHeight="1" s="40">
      <c r="A67" s="77" t="n"/>
      <c r="B67" s="78" t="n"/>
      <c r="C67" s="78" t="n"/>
      <c r="D67" s="78" t="n"/>
      <c r="E67" s="78" t="n"/>
      <c r="F67" s="77" t="n"/>
      <c r="G67" s="81">
        <f>IF(C67="","",IF(D67="","NOT CATEGORIZED",IF(AND(D67="apprenticeship",E67=""),"NOBODY NAMED TO RECEIVE IT","")))</f>
        <v/>
      </c>
    </row>
    <row r="68" ht="33.75" customHeight="1" s="40">
      <c r="A68" s="82" t="n"/>
      <c r="B68" s="83" t="n"/>
      <c r="C68" s="83" t="n"/>
      <c r="D68" s="83" t="n"/>
      <c r="E68" s="83" t="n"/>
      <c r="F68" s="82" t="n"/>
      <c r="G68" s="81">
        <f>IF(C68="","",IF(D68="","NOT CATEGORIZED",IF(AND(D68="apprenticeship",E68=""),"NOBODY NAMED TO RECEIVE IT","")))</f>
        <v/>
      </c>
    </row>
    <row r="69" ht="33.75" customHeight="1" s="40">
      <c r="A69" s="77" t="n"/>
      <c r="B69" s="78" t="n"/>
      <c r="C69" s="78" t="n"/>
      <c r="D69" s="78" t="n"/>
      <c r="E69" s="78" t="n"/>
      <c r="F69" s="77" t="n"/>
      <c r="G69" s="81">
        <f>IF(C69="","",IF(D69="","NOT CATEGORIZED",IF(AND(D69="apprenticeship",E69=""),"NOBODY NAMED TO RECEIVE IT","")))</f>
        <v/>
      </c>
    </row>
    <row r="70" ht="33.75" customHeight="1" s="40">
      <c r="A70" s="82" t="n"/>
      <c r="B70" s="83" t="n"/>
      <c r="C70" s="83" t="n"/>
      <c r="D70" s="83" t="n"/>
      <c r="E70" s="83" t="n"/>
      <c r="F70" s="82" t="n"/>
      <c r="G70" s="81">
        <f>IF(C70="","",IF(D70="","NOT CATEGORIZED",IF(AND(D70="apprenticeship",E70=""),"NOBODY NAMED TO RECEIVE IT","")))</f>
        <v/>
      </c>
    </row>
    <row r="71" ht="33.75" customHeight="1" s="40">
      <c r="A71" s="77" t="n"/>
      <c r="B71" s="78" t="n"/>
      <c r="C71" s="78" t="n"/>
      <c r="D71" s="78" t="n"/>
      <c r="E71" s="78" t="n"/>
      <c r="F71" s="77" t="n"/>
      <c r="G71" s="81">
        <f>IF(C71="","",IF(D71="","NOT CATEGORIZED",IF(AND(D71="apprenticeship",E71=""),"NOBODY NAMED TO RECEIVE IT","")))</f>
        <v/>
      </c>
    </row>
    <row r="72" ht="33.75" customHeight="1" s="40">
      <c r="A72" s="82" t="n"/>
      <c r="B72" s="83" t="n"/>
      <c r="C72" s="83" t="n"/>
      <c r="D72" s="83" t="n"/>
      <c r="E72" s="83" t="n"/>
      <c r="F72" s="82" t="n"/>
      <c r="G72" s="81">
        <f>IF(C72="","",IF(D72="","NOT CATEGORIZED",IF(AND(D72="apprenticeship",E72=""),"NOBODY NAMED TO RECEIVE IT","")))</f>
        <v/>
      </c>
    </row>
    <row r="73" ht="33.75" customHeight="1" s="40">
      <c r="A73" s="77" t="n"/>
      <c r="B73" s="78" t="n"/>
      <c r="C73" s="78" t="n"/>
      <c r="D73" s="78" t="n"/>
      <c r="E73" s="78" t="n"/>
      <c r="F73" s="77" t="n"/>
      <c r="G73" s="81">
        <f>IF(C73="","",IF(D73="","NOT CATEGORIZED",IF(AND(D73="apprenticeship",E73=""),"NOBODY NAMED TO RECEIVE IT","")))</f>
        <v/>
      </c>
    </row>
    <row r="74" ht="33.75" customHeight="1" s="40">
      <c r="A74" s="82" t="n"/>
      <c r="B74" s="83" t="n"/>
      <c r="C74" s="83" t="n"/>
      <c r="D74" s="83" t="n"/>
      <c r="E74" s="83" t="n"/>
      <c r="F74" s="82" t="n"/>
      <c r="G74" s="81">
        <f>IF(C74="","",IF(D74="","NOT CATEGORIZED",IF(AND(D74="apprenticeship",E74=""),"NOBODY NAMED TO RECEIVE IT","")))</f>
        <v/>
      </c>
    </row>
    <row r="75" ht="33.75" customHeight="1" s="40">
      <c r="A75" s="77" t="n"/>
      <c r="B75" s="78" t="n"/>
      <c r="C75" s="78" t="n"/>
      <c r="D75" s="78" t="n"/>
      <c r="E75" s="78" t="n"/>
      <c r="F75" s="77" t="n"/>
      <c r="G75" s="81">
        <f>IF(C75="","",IF(D75="","NOT CATEGORIZED",IF(AND(D75="apprenticeship",E75=""),"NOBODY NAMED TO RECEIVE IT","")))</f>
        <v/>
      </c>
    </row>
    <row r="76" ht="33.75" customHeight="1" s="40">
      <c r="A76" s="82" t="n"/>
      <c r="B76" s="83" t="n"/>
      <c r="C76" s="83" t="n"/>
      <c r="D76" s="83" t="n"/>
      <c r="E76" s="83" t="n"/>
      <c r="F76" s="82" t="n"/>
      <c r="G76" s="81">
        <f>IF(C76="","",IF(D76="","NOT CATEGORIZED",IF(AND(D76="apprenticeship",E76=""),"NOBODY NAMED TO RECEIVE IT","")))</f>
        <v/>
      </c>
    </row>
    <row r="77" ht="33.75" customHeight="1" s="40">
      <c r="A77" s="77" t="n"/>
      <c r="B77" s="78" t="n"/>
      <c r="C77" s="78" t="n"/>
      <c r="D77" s="78" t="n"/>
      <c r="E77" s="78" t="n"/>
      <c r="F77" s="77" t="n"/>
      <c r="G77" s="81">
        <f>IF(C77="","",IF(D77="","NOT CATEGORIZED",IF(AND(D77="apprenticeship",E77=""),"NOBODY NAMED TO RECEIVE IT","")))</f>
        <v/>
      </c>
    </row>
    <row r="78" ht="33.75" customHeight="1" s="40">
      <c r="A78" s="82" t="n"/>
      <c r="B78" s="83" t="n"/>
      <c r="C78" s="83" t="n"/>
      <c r="D78" s="83" t="n"/>
      <c r="E78" s="83" t="n"/>
      <c r="F78" s="82" t="n"/>
      <c r="G78" s="81">
        <f>IF(C78="","",IF(D78="","NOT CATEGORIZED",IF(AND(D78="apprenticeship",E78=""),"NOBODY NAMED TO RECEIVE IT","")))</f>
        <v/>
      </c>
    </row>
    <row r="79" ht="33.75" customHeight="1" s="40">
      <c r="A79" s="77" t="n"/>
      <c r="B79" s="78" t="n"/>
      <c r="C79" s="78" t="n"/>
      <c r="D79" s="78" t="n"/>
      <c r="E79" s="78" t="n"/>
      <c r="F79" s="77" t="n"/>
      <c r="G79" s="81">
        <f>IF(C79="","",IF(D79="","NOT CATEGORIZED",IF(AND(D79="apprenticeship",E79=""),"NOBODY NAMED TO RECEIVE IT","")))</f>
        <v/>
      </c>
    </row>
    <row r="80" ht="33.75" customHeight="1" s="40">
      <c r="A80" s="82" t="n"/>
      <c r="B80" s="83" t="n"/>
      <c r="C80" s="83" t="n"/>
      <c r="D80" s="83" t="n"/>
      <c r="E80" s="83" t="n"/>
      <c r="F80" s="82" t="n"/>
      <c r="G80" s="81">
        <f>IF(C80="","",IF(D80="","NOT CATEGORIZED",IF(AND(D80="apprenticeship",E80=""),"NOBODY NAMED TO RECEIVE IT","")))</f>
        <v/>
      </c>
    </row>
    <row r="81" ht="33.75" customHeight="1" s="40">
      <c r="A81" s="77" t="n"/>
      <c r="B81" s="78" t="n"/>
      <c r="C81" s="78" t="n"/>
      <c r="D81" s="78" t="n"/>
      <c r="E81" s="78" t="n"/>
      <c r="F81" s="77" t="n"/>
      <c r="G81" s="81">
        <f>IF(C81="","",IF(D81="","NOT CATEGORIZED",IF(AND(D81="apprenticeship",E81=""),"NOBODY NAMED TO RECEIVE IT","")))</f>
        <v/>
      </c>
    </row>
    <row r="82" ht="33.75" customHeight="1" s="40">
      <c r="A82" s="82" t="n"/>
      <c r="B82" s="83" t="n"/>
      <c r="C82" s="83" t="n"/>
      <c r="D82" s="83" t="n"/>
      <c r="E82" s="83" t="n"/>
      <c r="F82" s="82" t="n"/>
      <c r="G82" s="81">
        <f>IF(C82="","",IF(D82="","NOT CATEGORIZED",IF(AND(D82="apprenticeship",E82=""),"NOBODY NAMED TO RECEIVE IT","")))</f>
        <v/>
      </c>
    </row>
    <row r="83" ht="33.75" customHeight="1" s="40">
      <c r="A83" s="77" t="n"/>
      <c r="B83" s="78" t="n"/>
      <c r="C83" s="78" t="n"/>
      <c r="D83" s="78" t="n"/>
      <c r="E83" s="78" t="n"/>
      <c r="F83" s="77" t="n"/>
      <c r="G83" s="81">
        <f>IF(C83="","",IF(D83="","NOT CATEGORIZED",IF(AND(D83="apprenticeship",E83=""),"NOBODY NAMED TO RECEIVE IT","")))</f>
        <v/>
      </c>
    </row>
    <row r="84" ht="33.75" customHeight="1" s="40">
      <c r="A84" s="82" t="n"/>
      <c r="B84" s="83" t="n"/>
      <c r="C84" s="83" t="n"/>
      <c r="D84" s="83" t="n"/>
      <c r="E84" s="83" t="n"/>
      <c r="F84" s="82" t="n"/>
      <c r="G84" s="81">
        <f>IF(C84="","",IF(D84="","NOT CATEGORIZED",IF(AND(D84="apprenticeship",E84=""),"NOBODY NAMED TO RECEIVE IT","")))</f>
        <v/>
      </c>
    </row>
    <row r="85" ht="33.75" customHeight="1" s="40">
      <c r="A85" s="77" t="n"/>
      <c r="B85" s="78" t="n"/>
      <c r="C85" s="78" t="n"/>
      <c r="D85" s="78" t="n"/>
      <c r="E85" s="78" t="n"/>
      <c r="F85" s="77" t="n"/>
      <c r="G85" s="81">
        <f>IF(C85="","",IF(D85="","NOT CATEGORIZED",IF(AND(D85="apprenticeship",E85=""),"NOBODY NAMED TO RECEIVE IT","")))</f>
        <v/>
      </c>
    </row>
    <row r="86" ht="33.75" customHeight="1" s="40">
      <c r="A86" s="82" t="n"/>
      <c r="B86" s="83" t="n"/>
      <c r="C86" s="83" t="n"/>
      <c r="D86" s="83" t="n"/>
      <c r="E86" s="83" t="n"/>
      <c r="F86" s="82" t="n"/>
      <c r="G86" s="81">
        <f>IF(C86="","",IF(D86="","NOT CATEGORIZED",IF(AND(D86="apprenticeship",E86=""),"NOBODY NAMED TO RECEIVE IT","")))</f>
        <v/>
      </c>
    </row>
    <row r="87" ht="33.75" customHeight="1" s="40">
      <c r="A87" s="77" t="n"/>
      <c r="B87" s="78" t="n"/>
      <c r="C87" s="78" t="n"/>
      <c r="D87" s="78" t="n"/>
      <c r="E87" s="78" t="n"/>
      <c r="F87" s="77" t="n"/>
      <c r="G87" s="81">
        <f>IF(C87="","",IF(D87="","NOT CATEGORIZED",IF(AND(D87="apprenticeship",E87=""),"NOBODY NAMED TO RECEIVE IT","")))</f>
        <v/>
      </c>
    </row>
    <row r="88" ht="33.75" customHeight="1" s="40">
      <c r="A88" s="82" t="n"/>
      <c r="B88" s="83" t="n"/>
      <c r="C88" s="83" t="n"/>
      <c r="D88" s="83" t="n"/>
      <c r="E88" s="83" t="n"/>
      <c r="F88" s="82" t="n"/>
      <c r="G88" s="81">
        <f>IF(C88="","",IF(D88="","NOT CATEGORIZED",IF(AND(D88="apprenticeship",E88=""),"NOBODY NAMED TO RECEIVE IT","")))</f>
        <v/>
      </c>
    </row>
    <row r="89" ht="33.75" customHeight="1" s="40">
      <c r="A89" s="77" t="n"/>
      <c r="B89" s="78" t="n"/>
      <c r="C89" s="78" t="n"/>
      <c r="D89" s="78" t="n"/>
      <c r="E89" s="78" t="n"/>
      <c r="F89" s="77" t="n"/>
      <c r="G89" s="81">
        <f>IF(C89="","",IF(D89="","NOT CATEGORIZED",IF(AND(D89="apprenticeship",E89=""),"NOBODY NAMED TO RECEIVE IT","")))</f>
        <v/>
      </c>
    </row>
    <row r="90" ht="33.75" customHeight="1" s="40">
      <c r="A90" s="82" t="n"/>
      <c r="B90" s="83" t="n"/>
      <c r="C90" s="83" t="n"/>
      <c r="D90" s="83" t="n"/>
      <c r="E90" s="83" t="n"/>
      <c r="F90" s="82" t="n"/>
      <c r="G90" s="81">
        <f>IF(C90="","",IF(D90="","NOT CATEGORIZED",IF(AND(D90="apprenticeship",E90=""),"NOBODY NAMED TO RECEIVE IT","")))</f>
        <v/>
      </c>
    </row>
    <row r="91" ht="33.75" customHeight="1" s="40">
      <c r="A91" s="77" t="n"/>
      <c r="B91" s="78" t="n"/>
      <c r="C91" s="78" t="n"/>
      <c r="D91" s="78" t="n"/>
      <c r="E91" s="78" t="n"/>
      <c r="F91" s="77" t="n"/>
      <c r="G91" s="81">
        <f>IF(C91="","",IF(D91="","NOT CATEGORIZED",IF(AND(D91="apprenticeship",E91=""),"NOBODY NAMED TO RECEIVE IT","")))</f>
        <v/>
      </c>
    </row>
    <row r="92" ht="33.75" customHeight="1" s="40">
      <c r="A92" s="82" t="n"/>
      <c r="B92" s="83" t="n"/>
      <c r="C92" s="83" t="n"/>
      <c r="D92" s="83" t="n"/>
      <c r="E92" s="83" t="n"/>
      <c r="F92" s="82" t="n"/>
      <c r="G92" s="81">
        <f>IF(C92="","",IF(D92="","NOT CATEGORIZED",IF(AND(D92="apprenticeship",E92=""),"NOBODY NAMED TO RECEIVE IT","")))</f>
        <v/>
      </c>
    </row>
    <row r="93" ht="33.75" customHeight="1" s="40">
      <c r="A93" s="77" t="n"/>
      <c r="B93" s="78" t="n"/>
      <c r="C93" s="78" t="n"/>
      <c r="D93" s="78" t="n"/>
      <c r="E93" s="78" t="n"/>
      <c r="F93" s="77" t="n"/>
      <c r="G93" s="81">
        <f>IF(C93="","",IF(D93="","NOT CATEGORIZED",IF(AND(D93="apprenticeship",E93=""),"NOBODY NAMED TO RECEIVE IT","")))</f>
        <v/>
      </c>
    </row>
    <row r="94" ht="33.75" customHeight="1" s="40">
      <c r="A94" s="82" t="n"/>
      <c r="B94" s="83" t="n"/>
      <c r="C94" s="83" t="n"/>
      <c r="D94" s="83" t="n"/>
      <c r="E94" s="83" t="n"/>
      <c r="F94" s="82" t="n"/>
      <c r="G94" s="81">
        <f>IF(C94="","",IF(D94="","NOT CATEGORIZED",IF(AND(D94="apprenticeship",E94=""),"NOBODY NAMED TO RECEIVE IT","")))</f>
        <v/>
      </c>
    </row>
    <row r="95" ht="33.75" customHeight="1" s="40">
      <c r="A95" s="77" t="n"/>
      <c r="B95" s="78" t="n"/>
      <c r="C95" s="78" t="n"/>
      <c r="D95" s="78" t="n"/>
      <c r="E95" s="78" t="n"/>
      <c r="F95" s="77" t="n"/>
      <c r="G95" s="81">
        <f>IF(C95="","",IF(D95="","NOT CATEGORIZED",IF(AND(D95="apprenticeship",E95=""),"NOBODY NAMED TO RECEIVE IT","")))</f>
        <v/>
      </c>
    </row>
    <row r="96" ht="33.75" customHeight="1" s="40">
      <c r="A96" s="82" t="n"/>
      <c r="B96" s="83" t="n"/>
      <c r="C96" s="83" t="n"/>
      <c r="D96" s="83" t="n"/>
      <c r="E96" s="83" t="n"/>
      <c r="F96" s="82" t="n"/>
      <c r="G96" s="81">
        <f>IF(C96="","",IF(D96="","NOT CATEGORIZED",IF(AND(D96="apprenticeship",E96=""),"NOBODY NAMED TO RECEIVE IT","")))</f>
        <v/>
      </c>
    </row>
    <row r="97" ht="33.75" customHeight="1" s="40">
      <c r="A97" s="77" t="n"/>
      <c r="B97" s="78" t="n"/>
      <c r="C97" s="78" t="n"/>
      <c r="D97" s="78" t="n"/>
      <c r="E97" s="78" t="n"/>
      <c r="F97" s="77" t="n"/>
      <c r="G97" s="81">
        <f>IF(C97="","",IF(D97="","NOT CATEGORIZED",IF(AND(D97="apprenticeship",E97=""),"NOBODY NAMED TO RECEIVE IT","")))</f>
        <v/>
      </c>
    </row>
    <row r="98" ht="33.75" customHeight="1" s="40">
      <c r="A98" s="82" t="n"/>
      <c r="B98" s="83" t="n"/>
      <c r="C98" s="83" t="n"/>
      <c r="D98" s="83" t="n"/>
      <c r="E98" s="83" t="n"/>
      <c r="F98" s="82" t="n"/>
      <c r="G98" s="81">
        <f>IF(C98="","",IF(D98="","NOT CATEGORIZED",IF(AND(D98="apprenticeship",E98=""),"NOBODY NAMED TO RECEIVE IT","")))</f>
        <v/>
      </c>
    </row>
    <row r="99" ht="33.75" customHeight="1" s="40">
      <c r="A99" s="77" t="n"/>
      <c r="B99" s="78" t="n"/>
      <c r="C99" s="78" t="n"/>
      <c r="D99" s="78" t="n"/>
      <c r="E99" s="78" t="n"/>
      <c r="F99" s="77" t="n"/>
      <c r="G99" s="81">
        <f>IF(C99="","",IF(D99="","NOT CATEGORIZED",IF(AND(D99="apprenticeship",E99=""),"NOBODY NAMED TO RECEIVE IT","")))</f>
        <v/>
      </c>
    </row>
    <row r="100" ht="33.75" customHeight="1" s="40">
      <c r="A100" s="82" t="n"/>
      <c r="B100" s="83" t="n"/>
      <c r="C100" s="83" t="n"/>
      <c r="D100" s="83" t="n"/>
      <c r="E100" s="83" t="n"/>
      <c r="F100" s="82" t="n"/>
      <c r="G100" s="81">
        <f>IF(C100="","",IF(D100="","NOT CATEGORIZED",IF(AND(D100="apprenticeship",E100=""),"NOBODY NAMED TO RECEIVE IT","")))</f>
        <v/>
      </c>
    </row>
    <row r="101" ht="33.75" customHeight="1" s="40">
      <c r="A101" s="77" t="n"/>
      <c r="B101" s="78" t="n"/>
      <c r="C101" s="78" t="n"/>
      <c r="D101" s="78" t="n"/>
      <c r="E101" s="78" t="n"/>
      <c r="F101" s="77" t="n"/>
      <c r="G101" s="81">
        <f>IF(C101="","",IF(D101="","NOT CATEGORIZED",IF(AND(D101="apprenticeship",E101=""),"NOBODY NAMED TO RECEIVE IT","")))</f>
        <v/>
      </c>
    </row>
    <row r="102" ht="33.75" customHeight="1" s="40">
      <c r="A102" s="82" t="n"/>
      <c r="B102" s="83" t="n"/>
      <c r="C102" s="83" t="n"/>
      <c r="D102" s="83" t="n"/>
      <c r="E102" s="83" t="n"/>
      <c r="F102" s="82" t="n"/>
      <c r="G102" s="81">
        <f>IF(C102="","",IF(D102="","NOT CATEGORIZED",IF(AND(D102="apprenticeship",E102=""),"NOBODY NAMED TO RECEIVE IT","")))</f>
        <v/>
      </c>
    </row>
    <row r="103" ht="33.75" customHeight="1" s="40">
      <c r="A103" s="77" t="n"/>
      <c r="B103" s="78" t="n"/>
      <c r="C103" s="78" t="n"/>
      <c r="D103" s="78" t="n"/>
      <c r="E103" s="78" t="n"/>
      <c r="F103" s="77" t="n"/>
      <c r="G103" s="81">
        <f>IF(C103="","",IF(D103="","NOT CATEGORIZED",IF(AND(D103="apprenticeship",E103=""),"NOBODY NAMED TO RECEIVE IT","")))</f>
        <v/>
      </c>
    </row>
    <row r="104" ht="33.75" customHeight="1" s="40">
      <c r="A104" s="82" t="n"/>
      <c r="B104" s="83" t="n"/>
      <c r="C104" s="83" t="n"/>
      <c r="D104" s="83" t="n"/>
      <c r="E104" s="83" t="n"/>
      <c r="F104" s="82" t="n"/>
      <c r="G104" s="81">
        <f>IF(C104="","",IF(D104="","NOT CATEGORIZED",IF(AND(D104="apprenticeship",E104=""),"NOBODY NAMED TO RECEIVE IT","")))</f>
        <v/>
      </c>
    </row>
    <row r="105" ht="33.75" customHeight="1" s="40">
      <c r="A105" s="77" t="n"/>
      <c r="B105" s="78" t="n"/>
      <c r="C105" s="78" t="n"/>
      <c r="D105" s="78" t="n"/>
      <c r="E105" s="78" t="n"/>
      <c r="F105" s="77" t="n"/>
      <c r="G105" s="81">
        <f>IF(C105="","",IF(D105="","NOT CATEGORIZED",IF(AND(D105="apprenticeship",E105=""),"NOBODY NAMED TO RECEIVE IT","")))</f>
        <v/>
      </c>
    </row>
    <row r="106" ht="33.75" customHeight="1" s="40">
      <c r="A106" s="82" t="n"/>
      <c r="B106" s="83" t="n"/>
      <c r="C106" s="83" t="n"/>
      <c r="D106" s="83" t="n"/>
      <c r="E106" s="83" t="n"/>
      <c r="F106" s="82" t="n"/>
      <c r="G106" s="81">
        <f>IF(C106="","",IF(D106="","NOT CATEGORIZED",IF(AND(D106="apprenticeship",E106=""),"NOBODY NAMED TO RECEIVE IT","")))</f>
        <v/>
      </c>
    </row>
    <row r="107" ht="33.75" customHeight="1" s="40">
      <c r="A107" s="77" t="n"/>
      <c r="B107" s="78" t="n"/>
      <c r="C107" s="78" t="n"/>
      <c r="D107" s="78" t="n"/>
      <c r="E107" s="78" t="n"/>
      <c r="F107" s="77" t="n"/>
      <c r="G107" s="81">
        <f>IF(C107="","",IF(D107="","NOT CATEGORIZED",IF(AND(D107="apprenticeship",E107=""),"NOBODY NAMED TO RECEIVE IT","")))</f>
        <v/>
      </c>
    </row>
    <row r="108" ht="33.75" customHeight="1" s="40">
      <c r="A108" s="82" t="n"/>
      <c r="B108" s="83" t="n"/>
      <c r="C108" s="83" t="n"/>
      <c r="D108" s="83" t="n"/>
      <c r="E108" s="83" t="n"/>
      <c r="F108" s="82" t="n"/>
      <c r="G108" s="81">
        <f>IF(C108="","",IF(D108="","NOT CATEGORIZED",IF(AND(D108="apprenticeship",E108=""),"NOBODY NAMED TO RECEIVE IT","")))</f>
        <v/>
      </c>
    </row>
    <row r="109" ht="33.75" customHeight="1" s="40">
      <c r="A109" s="77" t="n"/>
      <c r="B109" s="78" t="n"/>
      <c r="C109" s="78" t="n"/>
      <c r="D109" s="78" t="n"/>
      <c r="E109" s="78" t="n"/>
      <c r="F109" s="77" t="n"/>
      <c r="G109" s="81">
        <f>IF(C109="","",IF(D109="","NOT CATEGORIZED",IF(AND(D109="apprenticeship",E109=""),"NOBODY NAMED TO RECEIVE IT","")))</f>
        <v/>
      </c>
    </row>
    <row r="110" ht="33.75" customHeight="1" s="40">
      <c r="A110" s="82" t="n"/>
      <c r="B110" s="83" t="n"/>
      <c r="C110" s="83" t="n"/>
      <c r="D110" s="83" t="n"/>
      <c r="E110" s="83" t="n"/>
      <c r="F110" s="82" t="n"/>
      <c r="G110" s="81">
        <f>IF(C110="","",IF(D110="","NOT CATEGORIZED",IF(AND(D110="apprenticeship",E110=""),"NOBODY NAMED TO RECEIVE IT","")))</f>
        <v/>
      </c>
    </row>
    <row r="111" ht="33.75" customHeight="1" s="40">
      <c r="A111" s="77" t="n"/>
      <c r="B111" s="78" t="n"/>
      <c r="C111" s="78" t="n"/>
      <c r="D111" s="78" t="n"/>
      <c r="E111" s="78" t="n"/>
      <c r="F111" s="77" t="n"/>
      <c r="G111" s="81">
        <f>IF(C111="","",IF(D111="","NOT CATEGORIZED",IF(AND(D111="apprenticeship",E111=""),"NOBODY NAMED TO RECEIVE IT","")))</f>
        <v/>
      </c>
    </row>
    <row r="112" ht="33.75" customHeight="1" s="40">
      <c r="A112" s="82" t="n"/>
      <c r="B112" s="83" t="n"/>
      <c r="C112" s="83" t="n"/>
      <c r="D112" s="83" t="n"/>
      <c r="E112" s="83" t="n"/>
      <c r="F112" s="82" t="n"/>
      <c r="G112" s="81">
        <f>IF(C112="","",IF(D112="","NOT CATEGORIZED",IF(AND(D112="apprenticeship",E112=""),"NOBODY NAMED TO RECEIVE IT","")))</f>
        <v/>
      </c>
    </row>
    <row r="113" ht="33.75" customHeight="1" s="40">
      <c r="A113" s="77" t="n"/>
      <c r="B113" s="78" t="n"/>
      <c r="C113" s="78" t="n"/>
      <c r="D113" s="78" t="n"/>
      <c r="E113" s="78" t="n"/>
      <c r="F113" s="77" t="n"/>
      <c r="G113" s="81">
        <f>IF(C113="","",IF(D113="","NOT CATEGORIZED",IF(AND(D113="apprenticeship",E113=""),"NOBODY NAMED TO RECEIVE IT","")))</f>
        <v/>
      </c>
    </row>
    <row r="114" ht="33.75" customHeight="1" s="40">
      <c r="A114" s="82" t="n"/>
      <c r="B114" s="83" t="n"/>
      <c r="C114" s="83" t="n"/>
      <c r="D114" s="83" t="n"/>
      <c r="E114" s="83" t="n"/>
      <c r="F114" s="82" t="n"/>
      <c r="G114" s="81">
        <f>IF(C114="","",IF(D114="","NOT CATEGORIZED",IF(AND(D114="apprenticeship",E114=""),"NOBODY NAMED TO RECEIVE IT","")))</f>
        <v/>
      </c>
    </row>
    <row r="115" ht="33.75" customHeight="1" s="40">
      <c r="A115" s="77" t="n"/>
      <c r="B115" s="78" t="n"/>
      <c r="C115" s="78" t="n"/>
      <c r="D115" s="78" t="n"/>
      <c r="E115" s="78" t="n"/>
      <c r="F115" s="77" t="n"/>
      <c r="G115" s="81">
        <f>IF(C115="","",IF(D115="","NOT CATEGORIZED",IF(AND(D115="apprenticeship",E115=""),"NOBODY NAMED TO RECEIVE IT","")))</f>
        <v/>
      </c>
    </row>
    <row r="116" ht="33.75" customHeight="1" s="40">
      <c r="A116" s="82" t="n"/>
      <c r="B116" s="83" t="n"/>
      <c r="C116" s="83" t="n"/>
      <c r="D116" s="83" t="n"/>
      <c r="E116" s="83" t="n"/>
      <c r="F116" s="82" t="n"/>
      <c r="G116" s="81">
        <f>IF(C116="","",IF(D116="","NOT CATEGORIZED",IF(AND(D116="apprenticeship",E116=""),"NOBODY NAMED TO RECEIVE IT","")))</f>
        <v/>
      </c>
    </row>
    <row r="117" ht="33.75" customHeight="1" s="40">
      <c r="A117" s="77" t="n"/>
      <c r="B117" s="78" t="n"/>
      <c r="C117" s="78" t="n"/>
      <c r="D117" s="78" t="n"/>
      <c r="E117" s="78" t="n"/>
      <c r="F117" s="77" t="n"/>
      <c r="G117" s="81">
        <f>IF(C117="","",IF(D117="","NOT CATEGORIZED",IF(AND(D117="apprenticeship",E117=""),"NOBODY NAMED TO RECEIVE IT","")))</f>
        <v/>
      </c>
    </row>
    <row r="118" ht="33.75" customHeight="1" s="40">
      <c r="A118" s="82" t="n"/>
      <c r="B118" s="83" t="n"/>
      <c r="C118" s="83" t="n"/>
      <c r="D118" s="83" t="n"/>
      <c r="E118" s="83" t="n"/>
      <c r="F118" s="82" t="n"/>
      <c r="G118" s="81">
        <f>IF(C118="","",IF(D118="","NOT CATEGORIZED",IF(AND(D118="apprenticeship",E118=""),"NOBODY NAMED TO RECEIVE IT","")))</f>
        <v/>
      </c>
    </row>
    <row r="119" ht="33.75" customHeight="1" s="40">
      <c r="A119" s="77" t="n"/>
      <c r="B119" s="78" t="n"/>
      <c r="C119" s="78" t="n"/>
      <c r="D119" s="78" t="n"/>
      <c r="E119" s="78" t="n"/>
      <c r="F119" s="77" t="n"/>
      <c r="G119" s="81">
        <f>IF(C119="","",IF(D119="","NOT CATEGORIZED",IF(AND(D119="apprenticeship",E119=""),"NOBODY NAMED TO RECEIVE IT","")))</f>
        <v/>
      </c>
    </row>
    <row r="120" ht="33.75" customHeight="1" s="40">
      <c r="A120" s="82" t="n"/>
      <c r="B120" s="83" t="n"/>
      <c r="C120" s="83" t="n"/>
      <c r="D120" s="83" t="n"/>
      <c r="E120" s="83" t="n"/>
      <c r="F120" s="82" t="n"/>
      <c r="G120" s="81">
        <f>IF(C120="","",IF(D120="","NOT CATEGORIZED",IF(AND(D120="apprenticeship",E120=""),"NOBODY NAMED TO RECEIVE IT","")))</f>
        <v/>
      </c>
    </row>
    <row r="121" ht="33.75" customHeight="1" s="40">
      <c r="A121" s="77" t="n"/>
      <c r="B121" s="78" t="n"/>
      <c r="C121" s="78" t="n"/>
      <c r="D121" s="78" t="n"/>
      <c r="E121" s="78" t="n"/>
      <c r="F121" s="77" t="n"/>
      <c r="G121" s="81">
        <f>IF(C121="","",IF(D121="","NOT CATEGORIZED",IF(AND(D121="apprenticeship",E121=""),"NOBODY NAMED TO RECEIVE IT","")))</f>
        <v/>
      </c>
    </row>
    <row r="122" ht="33.75" customHeight="1" s="40">
      <c r="A122" s="82" t="n"/>
      <c r="B122" s="83" t="n"/>
      <c r="C122" s="83" t="n"/>
      <c r="D122" s="83" t="n"/>
      <c r="E122" s="83" t="n"/>
      <c r="F122" s="82" t="n"/>
      <c r="G122" s="81">
        <f>IF(C122="","",IF(D122="","NOT CATEGORIZED",IF(AND(D122="apprenticeship",E122=""),"NOBODY NAMED TO RECEIVE IT","")))</f>
        <v/>
      </c>
    </row>
    <row r="123" ht="33.75" customHeight="1" s="40">
      <c r="A123" s="77" t="n"/>
      <c r="B123" s="78" t="n"/>
      <c r="C123" s="78" t="n"/>
      <c r="D123" s="78" t="n"/>
      <c r="E123" s="78" t="n"/>
      <c r="F123" s="77" t="n"/>
      <c r="G123" s="81">
        <f>IF(C123="","",IF(D123="","NOT CATEGORIZED",IF(AND(D123="apprenticeship",E123=""),"NOBODY NAMED TO RECEIVE IT","")))</f>
        <v/>
      </c>
    </row>
    <row r="124" ht="33.75" customHeight="1" s="40">
      <c r="A124" s="82" t="n"/>
      <c r="B124" s="83" t="n"/>
      <c r="C124" s="83" t="n"/>
      <c r="D124" s="83" t="n"/>
      <c r="E124" s="83" t="n"/>
      <c r="F124" s="82" t="n"/>
      <c r="G124" s="81">
        <f>IF(C124="","",IF(D124="","NOT CATEGORIZED",IF(AND(D124="apprenticeship",E124=""),"NOBODY NAMED TO RECEIVE IT","")))</f>
        <v/>
      </c>
    </row>
    <row r="125" ht="33.75" customHeight="1" s="40">
      <c r="A125" s="77" t="n"/>
      <c r="B125" s="78" t="n"/>
      <c r="C125" s="78" t="n"/>
      <c r="D125" s="78" t="n"/>
      <c r="E125" s="78" t="n"/>
      <c r="F125" s="77" t="n"/>
      <c r="G125" s="81">
        <f>IF(C125="","",IF(D125="","NOT CATEGORIZED",IF(AND(D125="apprenticeship",E125=""),"NOBODY NAMED TO RECEIVE IT","")))</f>
        <v/>
      </c>
    </row>
    <row r="126" ht="33.75" customHeight="1" s="40">
      <c r="A126" s="82" t="n"/>
      <c r="B126" s="83" t="n"/>
      <c r="C126" s="83" t="n"/>
      <c r="D126" s="83" t="n"/>
      <c r="E126" s="83" t="n"/>
      <c r="F126" s="82" t="n"/>
      <c r="G126" s="81">
        <f>IF(C126="","",IF(D126="","NOT CATEGORIZED",IF(AND(D126="apprenticeship",E126=""),"NOBODY NAMED TO RECEIVE IT","")))</f>
        <v/>
      </c>
    </row>
    <row r="127" ht="33.75" customHeight="1" s="40">
      <c r="A127" s="77" t="n"/>
      <c r="B127" s="78" t="n"/>
      <c r="C127" s="78" t="n"/>
      <c r="D127" s="78" t="n"/>
      <c r="E127" s="78" t="n"/>
      <c r="F127" s="77" t="n"/>
      <c r="G127" s="81">
        <f>IF(C127="","",IF(D127="","NOT CATEGORIZED",IF(AND(D127="apprenticeship",E127=""),"NOBODY NAMED TO RECEIVE IT","")))</f>
        <v/>
      </c>
    </row>
    <row r="128" ht="33.75" customHeight="1" s="40">
      <c r="A128" s="82" t="n"/>
      <c r="B128" s="83" t="n"/>
      <c r="C128" s="83" t="n"/>
      <c r="D128" s="83" t="n"/>
      <c r="E128" s="83" t="n"/>
      <c r="F128" s="82" t="n"/>
      <c r="G128" s="81">
        <f>IF(C128="","",IF(D128="","NOT CATEGORIZED",IF(AND(D128="apprenticeship",E128=""),"NOBODY NAMED TO RECEIVE IT","")))</f>
        <v/>
      </c>
    </row>
    <row r="129" ht="33.75" customHeight="1" s="40">
      <c r="A129" s="77" t="n"/>
      <c r="B129" s="78" t="n"/>
      <c r="C129" s="78" t="n"/>
      <c r="D129" s="78" t="n"/>
      <c r="E129" s="78" t="n"/>
      <c r="F129" s="77" t="n"/>
      <c r="G129" s="81">
        <f>IF(C129="","",IF(D129="","NOT CATEGORIZED",IF(AND(D129="apprenticeship",E129=""),"NOBODY NAMED TO RECEIVE IT","")))</f>
        <v/>
      </c>
    </row>
    <row r="130" ht="33.75" customHeight="1" s="40">
      <c r="A130" s="82" t="n"/>
      <c r="B130" s="83" t="n"/>
      <c r="C130" s="83" t="n"/>
      <c r="D130" s="83" t="n"/>
      <c r="E130" s="83" t="n"/>
      <c r="F130" s="82" t="n"/>
      <c r="G130" s="81">
        <f>IF(C130="","",IF(D130="","NOT CATEGORIZED",IF(AND(D130="apprenticeship",E130=""),"NOBODY NAMED TO RECEIVE IT","")))</f>
        <v/>
      </c>
    </row>
    <row r="131" ht="33.75" customHeight="1" s="40">
      <c r="A131" s="77" t="n"/>
      <c r="B131" s="78" t="n"/>
      <c r="C131" s="78" t="n"/>
      <c r="D131" s="78" t="n"/>
      <c r="E131" s="78" t="n"/>
      <c r="F131" s="77" t="n"/>
      <c r="G131" s="81">
        <f>IF(C131="","",IF(D131="","NOT CATEGORIZED",IF(AND(D131="apprenticeship",E131=""),"NOBODY NAMED TO RECEIVE IT","")))</f>
        <v/>
      </c>
    </row>
    <row r="132" ht="33.75" customHeight="1" s="40">
      <c r="A132" s="82" t="n"/>
      <c r="B132" s="83" t="n"/>
      <c r="C132" s="83" t="n"/>
      <c r="D132" s="83" t="n"/>
      <c r="E132" s="83" t="n"/>
      <c r="F132" s="82" t="n"/>
      <c r="G132" s="81">
        <f>IF(C132="","",IF(D132="","NOT CATEGORIZED",IF(AND(D132="apprenticeship",E132=""),"NOBODY NAMED TO RECEIVE IT","")))</f>
        <v/>
      </c>
    </row>
    <row r="133" ht="33.75" customHeight="1" s="40">
      <c r="A133" s="77" t="n"/>
      <c r="B133" s="78" t="n"/>
      <c r="C133" s="78" t="n"/>
      <c r="D133" s="78" t="n"/>
      <c r="E133" s="78" t="n"/>
      <c r="F133" s="77" t="n"/>
      <c r="G133" s="81">
        <f>IF(C133="","",IF(D133="","NOT CATEGORIZED",IF(AND(D133="apprenticeship",E133=""),"NOBODY NAMED TO RECEIVE IT","")))</f>
        <v/>
      </c>
    </row>
    <row r="134" ht="33.75" customHeight="1" s="40">
      <c r="A134" s="82" t="n"/>
      <c r="B134" s="83" t="n"/>
      <c r="C134" s="83" t="n"/>
      <c r="D134" s="83" t="n"/>
      <c r="E134" s="83" t="n"/>
      <c r="F134" s="82" t="n"/>
      <c r="G134" s="81">
        <f>IF(C134="","",IF(D134="","NOT CATEGORIZED",IF(AND(D134="apprenticeship",E134=""),"NOBODY NAMED TO RECEIVE IT","")))</f>
        <v/>
      </c>
    </row>
    <row r="135" ht="33.75" customHeight="1" s="40">
      <c r="A135" s="77" t="n"/>
      <c r="B135" s="78" t="n"/>
      <c r="C135" s="78" t="n"/>
      <c r="D135" s="78" t="n"/>
      <c r="E135" s="78" t="n"/>
      <c r="F135" s="77" t="n"/>
      <c r="G135" s="81">
        <f>IF(C135="","",IF(D135="","NOT CATEGORIZED",IF(AND(D135="apprenticeship",E135=""),"NOBODY NAMED TO RECEIVE IT","")))</f>
        <v/>
      </c>
    </row>
    <row r="136" ht="33.75" customHeight="1" s="40">
      <c r="A136" s="82" t="n"/>
      <c r="B136" s="83" t="n"/>
      <c r="C136" s="83" t="n"/>
      <c r="D136" s="83" t="n"/>
      <c r="E136" s="83" t="n"/>
      <c r="F136" s="82" t="n"/>
      <c r="G136" s="81">
        <f>IF(C136="","",IF(D136="","NOT CATEGORIZED",IF(AND(D136="apprenticeship",E136=""),"NOBODY NAMED TO RECEIVE IT","")))</f>
        <v/>
      </c>
    </row>
    <row r="137" ht="33.75" customHeight="1" s="40">
      <c r="A137" s="77" t="n"/>
      <c r="B137" s="78" t="n"/>
      <c r="C137" s="78" t="n"/>
      <c r="D137" s="78" t="n"/>
      <c r="E137" s="78" t="n"/>
      <c r="F137" s="77" t="n"/>
      <c r="G137" s="81">
        <f>IF(C137="","",IF(D137="","NOT CATEGORIZED",IF(AND(D137="apprenticeship",E137=""),"NOBODY NAMED TO RECEIVE IT","")))</f>
        <v/>
      </c>
    </row>
    <row r="138" ht="33.75" customHeight="1" s="40">
      <c r="A138" s="82" t="n"/>
      <c r="B138" s="83" t="n"/>
      <c r="C138" s="83" t="n"/>
      <c r="D138" s="83" t="n"/>
      <c r="E138" s="83" t="n"/>
      <c r="F138" s="82" t="n"/>
      <c r="G138" s="81">
        <f>IF(C138="","",IF(D138="","NOT CATEGORIZED",IF(AND(D138="apprenticeship",E138=""),"NOBODY NAMED TO RECEIVE IT","")))</f>
        <v/>
      </c>
    </row>
    <row r="139" ht="33.75" customHeight="1" s="40">
      <c r="A139" s="77" t="n"/>
      <c r="B139" s="78" t="n"/>
      <c r="C139" s="78" t="n"/>
      <c r="D139" s="78" t="n"/>
      <c r="E139" s="78" t="n"/>
      <c r="F139" s="77" t="n"/>
      <c r="G139" s="81">
        <f>IF(C139="","",IF(D139="","NOT CATEGORIZED",IF(AND(D139="apprenticeship",E139=""),"NOBODY NAMED TO RECEIVE IT","")))</f>
        <v/>
      </c>
    </row>
    <row r="140" ht="33.75" customHeight="1" s="40">
      <c r="A140" s="82" t="n"/>
      <c r="B140" s="83" t="n"/>
      <c r="C140" s="83" t="n"/>
      <c r="D140" s="83" t="n"/>
      <c r="E140" s="83" t="n"/>
      <c r="F140" s="82" t="n"/>
      <c r="G140" s="81">
        <f>IF(C140="","",IF(D140="","NOT CATEGORIZED",IF(AND(D140="apprenticeship",E140=""),"NOBODY NAMED TO RECEIVE IT","")))</f>
        <v/>
      </c>
    </row>
    <row r="141" ht="33.75" customHeight="1" s="40">
      <c r="A141" s="77" t="n"/>
      <c r="B141" s="78" t="n"/>
      <c r="C141" s="78" t="n"/>
      <c r="D141" s="78" t="n"/>
      <c r="E141" s="78" t="n"/>
      <c r="F141" s="77" t="n"/>
      <c r="G141" s="81">
        <f>IF(C141="","",IF(D141="","NOT CATEGORIZED",IF(AND(D141="apprenticeship",E141=""),"NOBODY NAMED TO RECEIVE IT","")))</f>
        <v/>
      </c>
    </row>
    <row r="142" ht="33.75" customHeight="1" s="40">
      <c r="A142" s="82" t="n"/>
      <c r="B142" s="83" t="n"/>
      <c r="C142" s="83" t="n"/>
      <c r="D142" s="83" t="n"/>
      <c r="E142" s="83" t="n"/>
      <c r="F142" s="82" t="n"/>
      <c r="G142" s="81">
        <f>IF(C142="","",IF(D142="","NOT CATEGORIZED",IF(AND(D142="apprenticeship",E142=""),"NOBODY NAMED TO RECEIVE IT","")))</f>
        <v/>
      </c>
    </row>
    <row r="143" ht="33.75" customHeight="1" s="40">
      <c r="A143" s="77" t="n"/>
      <c r="B143" s="78" t="n"/>
      <c r="C143" s="78" t="n"/>
      <c r="D143" s="78" t="n"/>
      <c r="E143" s="78" t="n"/>
      <c r="F143" s="77" t="n"/>
      <c r="G143" s="81">
        <f>IF(C143="","",IF(D143="","NOT CATEGORIZED",IF(AND(D143="apprenticeship",E143=""),"NOBODY NAMED TO RECEIVE IT","")))</f>
        <v/>
      </c>
    </row>
    <row r="144" ht="33.75" customHeight="1" s="40">
      <c r="A144" s="82" t="n"/>
      <c r="B144" s="83" t="n"/>
      <c r="C144" s="83" t="n"/>
      <c r="D144" s="83" t="n"/>
      <c r="E144" s="83" t="n"/>
      <c r="F144" s="82" t="n"/>
      <c r="G144" s="81">
        <f>IF(C144="","",IF(D144="","NOT CATEGORIZED",IF(AND(D144="apprenticeship",E144=""),"NOBODY NAMED TO RECEIVE IT","")))</f>
        <v/>
      </c>
    </row>
    <row r="145" ht="33.75" customHeight="1" s="40">
      <c r="A145" s="77" t="n"/>
      <c r="B145" s="78" t="n"/>
      <c r="C145" s="78" t="n"/>
      <c r="D145" s="78" t="n"/>
      <c r="E145" s="78" t="n"/>
      <c r="F145" s="77" t="n"/>
      <c r="G145" s="81">
        <f>IF(C145="","",IF(D145="","NOT CATEGORIZED",IF(AND(D145="apprenticeship",E145=""),"NOBODY NAMED TO RECEIVE IT","")))</f>
        <v/>
      </c>
    </row>
    <row r="146" ht="33.75" customHeight="1" s="40">
      <c r="A146" s="82" t="n"/>
      <c r="B146" s="83" t="n"/>
      <c r="C146" s="83" t="n"/>
      <c r="D146" s="83" t="n"/>
      <c r="E146" s="83" t="n"/>
      <c r="F146" s="82" t="n"/>
      <c r="G146" s="81">
        <f>IF(C146="","",IF(D146="","NOT CATEGORIZED",IF(AND(D146="apprenticeship",E146=""),"NOBODY NAMED TO RECEIVE IT","")))</f>
        <v/>
      </c>
    </row>
    <row r="147" ht="33.75" customHeight="1" s="40">
      <c r="A147" s="77" t="n"/>
      <c r="B147" s="78" t="n"/>
      <c r="C147" s="78" t="n"/>
      <c r="D147" s="78" t="n"/>
      <c r="E147" s="78" t="n"/>
      <c r="F147" s="77" t="n"/>
      <c r="G147" s="81">
        <f>IF(C147="","",IF(D147="","NOT CATEGORIZED",IF(AND(D147="apprenticeship",E147=""),"NOBODY NAMED TO RECEIVE IT","")))</f>
        <v/>
      </c>
    </row>
    <row r="148" ht="33.75" customHeight="1" s="40">
      <c r="A148" s="82" t="n"/>
      <c r="B148" s="83" t="n"/>
      <c r="C148" s="83" t="n"/>
      <c r="D148" s="83" t="n"/>
      <c r="E148" s="83" t="n"/>
      <c r="F148" s="82" t="n"/>
      <c r="G148" s="81">
        <f>IF(C148="","",IF(D148="","NOT CATEGORIZED",IF(AND(D148="apprenticeship",E148=""),"NOBODY NAMED TO RECEIVE IT","")))</f>
        <v/>
      </c>
    </row>
    <row r="149" ht="33.75" customHeight="1" s="40">
      <c r="A149" s="77" t="n"/>
      <c r="B149" s="78" t="n"/>
      <c r="C149" s="78" t="n"/>
      <c r="D149" s="78" t="n"/>
      <c r="E149" s="78" t="n"/>
      <c r="F149" s="77" t="n"/>
      <c r="G149" s="81">
        <f>IF(C149="","",IF(D149="","NOT CATEGORIZED",IF(AND(D149="apprenticeship",E149=""),"NOBODY NAMED TO RECEIVE IT","")))</f>
        <v/>
      </c>
    </row>
    <row r="150" ht="33.75" customHeight="1" s="40">
      <c r="A150" s="82" t="n"/>
      <c r="B150" s="83" t="n"/>
      <c r="C150" s="83" t="n"/>
      <c r="D150" s="83" t="n"/>
      <c r="E150" s="83" t="n"/>
      <c r="F150" s="82" t="n"/>
      <c r="G150" s="81">
        <f>IF(C150="","",IF(D150="","NOT CATEGORIZED",IF(AND(D150="apprenticeship",E150=""),"NOBODY NAMED TO RECEIVE IT","")))</f>
        <v/>
      </c>
    </row>
    <row r="151" ht="33.75" customHeight="1" s="40">
      <c r="A151" s="77" t="n"/>
      <c r="B151" s="78" t="n"/>
      <c r="C151" s="78" t="n"/>
      <c r="D151" s="78" t="n"/>
      <c r="E151" s="78" t="n"/>
      <c r="F151" s="77" t="n"/>
      <c r="G151" s="81">
        <f>IF(C151="","",IF(D151="","NOT CATEGORIZED",IF(AND(D151="apprenticeship",E151=""),"NOBODY NAMED TO RECEIVE IT","")))</f>
        <v/>
      </c>
    </row>
    <row r="152" ht="33.75" customHeight="1" s="40">
      <c r="A152" s="82" t="n"/>
      <c r="B152" s="83" t="n"/>
      <c r="C152" s="83" t="n"/>
      <c r="D152" s="83" t="n"/>
      <c r="E152" s="83" t="n"/>
      <c r="F152" s="82" t="n"/>
      <c r="G152" s="81">
        <f>IF(C152="","",IF(D152="","NOT CATEGORIZED",IF(AND(D152="apprenticeship",E152=""),"NOBODY NAMED TO RECEIVE IT","")))</f>
        <v/>
      </c>
    </row>
    <row r="153" ht="33.75" customHeight="1" s="40">
      <c r="A153" s="77" t="n"/>
      <c r="B153" s="78" t="n"/>
      <c r="C153" s="78" t="n"/>
      <c r="D153" s="78" t="n"/>
      <c r="E153" s="78" t="n"/>
      <c r="F153" s="77" t="n"/>
      <c r="G153" s="81">
        <f>IF(C153="","",IF(D153="","NOT CATEGORIZED",IF(AND(D153="apprenticeship",E153=""),"NOBODY NAMED TO RECEIVE IT","")))</f>
        <v/>
      </c>
    </row>
    <row r="154" ht="33.75" customHeight="1" s="40">
      <c r="A154" s="82" t="n"/>
      <c r="B154" s="83" t="n"/>
      <c r="C154" s="83" t="n"/>
      <c r="D154" s="83" t="n"/>
      <c r="E154" s="83" t="n"/>
      <c r="F154" s="82" t="n"/>
      <c r="G154" s="81">
        <f>IF(C154="","",IF(D154="","NOT CATEGORIZED",IF(AND(D154="apprenticeship",E154=""),"NOBODY NAMED TO RECEIVE IT","")))</f>
        <v/>
      </c>
    </row>
    <row r="155" ht="33.75" customHeight="1" s="40">
      <c r="A155" s="77" t="n"/>
      <c r="B155" s="78" t="n"/>
      <c r="C155" s="78" t="n"/>
      <c r="D155" s="78" t="n"/>
      <c r="E155" s="78" t="n"/>
      <c r="F155" s="77" t="n"/>
      <c r="G155" s="81">
        <f>IF(C155="","",IF(D155="","NOT CATEGORIZED",IF(AND(D155="apprenticeship",E155=""),"NOBODY NAMED TO RECEIVE IT","")))</f>
        <v/>
      </c>
    </row>
    <row r="156" ht="33.75" customHeight="1" s="40">
      <c r="A156" s="82" t="n"/>
      <c r="B156" s="83" t="n"/>
      <c r="C156" s="83" t="n"/>
      <c r="D156" s="83" t="n"/>
      <c r="E156" s="83" t="n"/>
      <c r="F156" s="82" t="n"/>
      <c r="G156" s="81">
        <f>IF(C156="","",IF(D156="","NOT CATEGORIZED",IF(AND(D156="apprenticeship",E156=""),"NOBODY NAMED TO RECEIVE IT","")))</f>
        <v/>
      </c>
    </row>
    <row r="157" ht="33.75" customHeight="1" s="40">
      <c r="A157" s="77" t="n"/>
      <c r="B157" s="78" t="n"/>
      <c r="C157" s="78" t="n"/>
      <c r="D157" s="78" t="n"/>
      <c r="E157" s="78" t="n"/>
      <c r="F157" s="77" t="n"/>
      <c r="G157" s="81">
        <f>IF(C157="","",IF(D157="","NOT CATEGORIZED",IF(AND(D157="apprenticeship",E157=""),"NOBODY NAMED TO RECEIVE IT","")))</f>
        <v/>
      </c>
    </row>
    <row r="158" ht="33.75" customHeight="1" s="40">
      <c r="A158" s="82" t="n"/>
      <c r="B158" s="83" t="n"/>
      <c r="C158" s="83" t="n"/>
      <c r="D158" s="83" t="n"/>
      <c r="E158" s="83" t="n"/>
      <c r="F158" s="82" t="n"/>
      <c r="G158" s="81">
        <f>IF(C158="","",IF(D158="","NOT CATEGORIZED",IF(AND(D158="apprenticeship",E158=""),"NOBODY NAMED TO RECEIVE IT","")))</f>
        <v/>
      </c>
    </row>
    <row r="159" ht="33.75" customHeight="1" s="40">
      <c r="A159" s="77" t="n"/>
      <c r="B159" s="78" t="n"/>
      <c r="C159" s="78" t="n"/>
      <c r="D159" s="78" t="n"/>
      <c r="E159" s="78" t="n"/>
      <c r="F159" s="77" t="n"/>
      <c r="G159" s="81">
        <f>IF(C159="","",IF(D159="","NOT CATEGORIZED",IF(AND(D159="apprenticeship",E159=""),"NOBODY NAMED TO RECEIVE IT","")))</f>
        <v/>
      </c>
    </row>
    <row r="160" ht="33.75" customHeight="1" s="40">
      <c r="A160" s="82" t="n"/>
      <c r="B160" s="83" t="n"/>
      <c r="C160" s="83" t="n"/>
      <c r="D160" s="83" t="n"/>
      <c r="E160" s="83" t="n"/>
      <c r="F160" s="82" t="n"/>
      <c r="G160" s="81">
        <f>IF(C160="","",IF(D160="","NOT CATEGORIZED",IF(AND(D160="apprenticeship",E160=""),"NOBODY NAMED TO RECEIVE IT","")))</f>
        <v/>
      </c>
    </row>
    <row r="161" ht="33.75" customHeight="1" s="40">
      <c r="A161" s="77" t="n"/>
      <c r="B161" s="78" t="n"/>
      <c r="C161" s="78" t="n"/>
      <c r="D161" s="78" t="n"/>
      <c r="E161" s="78" t="n"/>
      <c r="F161" s="77" t="n"/>
      <c r="G161" s="81">
        <f>IF(C161="","",IF(D161="","NOT CATEGORIZED",IF(AND(D161="apprenticeship",E161=""),"NOBODY NAMED TO RECEIVE IT","")))</f>
        <v/>
      </c>
    </row>
    <row r="162" ht="33.75" customHeight="1" s="40">
      <c r="A162" s="82" t="n"/>
      <c r="B162" s="83" t="n"/>
      <c r="C162" s="83" t="n"/>
      <c r="D162" s="83" t="n"/>
      <c r="E162" s="83" t="n"/>
      <c r="F162" s="82" t="n"/>
      <c r="G162" s="81">
        <f>IF(C162="","",IF(D162="","NOT CATEGORIZED",IF(AND(D162="apprenticeship",E162=""),"NOBODY NAMED TO RECEIVE IT","")))</f>
        <v/>
      </c>
    </row>
    <row r="163" ht="33.75" customHeight="1" s="40">
      <c r="A163" s="77" t="n"/>
      <c r="B163" s="78" t="n"/>
      <c r="C163" s="78" t="n"/>
      <c r="D163" s="78" t="n"/>
      <c r="E163" s="78" t="n"/>
      <c r="F163" s="77" t="n"/>
      <c r="G163" s="81">
        <f>IF(C163="","",IF(D163="","NOT CATEGORIZED",IF(AND(D163="apprenticeship",E163=""),"NOBODY NAMED TO RECEIVE IT","")))</f>
        <v/>
      </c>
    </row>
    <row r="164" ht="33.75" customHeight="1" s="40">
      <c r="A164" s="82" t="n"/>
      <c r="B164" s="83" t="n"/>
      <c r="C164" s="83" t="n"/>
      <c r="D164" s="83" t="n"/>
      <c r="E164" s="83" t="n"/>
      <c r="F164" s="82" t="n"/>
      <c r="G164" s="81">
        <f>IF(C164="","",IF(D164="","NOT CATEGORIZED",IF(AND(D164="apprenticeship",E164=""),"NOBODY NAMED TO RECEIVE IT","")))</f>
        <v/>
      </c>
    </row>
    <row r="165" ht="33.75" customHeight="1" s="40">
      <c r="A165" s="77" t="n"/>
      <c r="B165" s="78" t="n"/>
      <c r="C165" s="78" t="n"/>
      <c r="D165" s="78" t="n"/>
      <c r="E165" s="78" t="n"/>
      <c r="F165" s="77" t="n"/>
      <c r="G165" s="81">
        <f>IF(C165="","",IF(D165="","NOT CATEGORIZED",IF(AND(D165="apprenticeship",E165=""),"NOBODY NAMED TO RECEIVE IT","")))</f>
        <v/>
      </c>
    </row>
    <row r="166" ht="33.75" customHeight="1" s="40">
      <c r="A166" s="82" t="n"/>
      <c r="B166" s="83" t="n"/>
      <c r="C166" s="83" t="n"/>
      <c r="D166" s="83" t="n"/>
      <c r="E166" s="83" t="n"/>
      <c r="F166" s="82" t="n"/>
      <c r="G166" s="81">
        <f>IF(C166="","",IF(D166="","NOT CATEGORIZED",IF(AND(D166="apprenticeship",E166=""),"NOBODY NAMED TO RECEIVE IT","")))</f>
        <v/>
      </c>
    </row>
    <row r="167" ht="33.75" customHeight="1" s="40">
      <c r="A167" s="77" t="n"/>
      <c r="B167" s="78" t="n"/>
      <c r="C167" s="78" t="n"/>
      <c r="D167" s="78" t="n"/>
      <c r="E167" s="78" t="n"/>
      <c r="F167" s="77" t="n"/>
      <c r="G167" s="81">
        <f>IF(C167="","",IF(D167="","NOT CATEGORIZED",IF(AND(D167="apprenticeship",E167=""),"NOBODY NAMED TO RECEIVE IT","")))</f>
        <v/>
      </c>
    </row>
    <row r="168" ht="33.75" customHeight="1" s="40">
      <c r="A168" s="82" t="n"/>
      <c r="B168" s="83" t="n"/>
      <c r="C168" s="83" t="n"/>
      <c r="D168" s="83" t="n"/>
      <c r="E168" s="83" t="n"/>
      <c r="F168" s="82" t="n"/>
      <c r="G168" s="81">
        <f>IF(C168="","",IF(D168="","NOT CATEGORIZED",IF(AND(D168="apprenticeship",E168=""),"NOBODY NAMED TO RECEIVE IT","")))</f>
        <v/>
      </c>
    </row>
    <row r="169" ht="33.75" customHeight="1" s="40">
      <c r="A169" s="77" t="n"/>
      <c r="B169" s="78" t="n"/>
      <c r="C169" s="78" t="n"/>
      <c r="D169" s="78" t="n"/>
      <c r="E169" s="78" t="n"/>
      <c r="F169" s="77" t="n"/>
      <c r="G169" s="81">
        <f>IF(C169="","",IF(D169="","NOT CATEGORIZED",IF(AND(D169="apprenticeship",E169=""),"NOBODY NAMED TO RECEIVE IT","")))</f>
        <v/>
      </c>
    </row>
    <row r="170" ht="33.75" customHeight="1" s="40">
      <c r="A170" s="82" t="n"/>
      <c r="B170" s="83" t="n"/>
      <c r="C170" s="83" t="n"/>
      <c r="D170" s="83" t="n"/>
      <c r="E170" s="83" t="n"/>
      <c r="F170" s="82" t="n"/>
      <c r="G170" s="81">
        <f>IF(C170="","",IF(D170="","NOT CATEGORIZED",IF(AND(D170="apprenticeship",E170=""),"NOBODY NAMED TO RECEIVE IT","")))</f>
        <v/>
      </c>
    </row>
    <row r="171" ht="33.75" customHeight="1" s="40">
      <c r="A171" s="77" t="n"/>
      <c r="B171" s="78" t="n"/>
      <c r="C171" s="78" t="n"/>
      <c r="D171" s="78" t="n"/>
      <c r="E171" s="78" t="n"/>
      <c r="F171" s="77" t="n"/>
      <c r="G171" s="81">
        <f>IF(C171="","",IF(D171="","NOT CATEGORIZED",IF(AND(D171="apprenticeship",E171=""),"NOBODY NAMED TO RECEIVE IT","")))</f>
        <v/>
      </c>
    </row>
    <row r="172" ht="33.75" customHeight="1" s="40">
      <c r="A172" s="82" t="n"/>
      <c r="B172" s="83" t="n"/>
      <c r="C172" s="83" t="n"/>
      <c r="D172" s="83" t="n"/>
      <c r="E172" s="83" t="n"/>
      <c r="F172" s="82" t="n"/>
      <c r="G172" s="81">
        <f>IF(C172="","",IF(D172="","NOT CATEGORIZED",IF(AND(D172="apprenticeship",E172=""),"NOBODY NAMED TO RECEIVE IT","")))</f>
        <v/>
      </c>
    </row>
    <row r="173" ht="33.75" customHeight="1" s="40">
      <c r="A173" s="77" t="n"/>
      <c r="B173" s="78" t="n"/>
      <c r="C173" s="78" t="n"/>
      <c r="D173" s="78" t="n"/>
      <c r="E173" s="78" t="n"/>
      <c r="F173" s="77" t="n"/>
      <c r="G173" s="81">
        <f>IF(C173="","",IF(D173="","NOT CATEGORIZED",IF(AND(D173="apprenticeship",E173=""),"NOBODY NAMED TO RECEIVE IT","")))</f>
        <v/>
      </c>
    </row>
    <row r="174" ht="33.75" customHeight="1" s="40">
      <c r="A174" s="82" t="n"/>
      <c r="B174" s="83" t="n"/>
      <c r="C174" s="83" t="n"/>
      <c r="D174" s="83" t="n"/>
      <c r="E174" s="83" t="n"/>
      <c r="F174" s="82" t="n"/>
      <c r="G174" s="81">
        <f>IF(C174="","",IF(D174="","NOT CATEGORIZED",IF(AND(D174="apprenticeship",E174=""),"NOBODY NAMED TO RECEIVE IT","")))</f>
        <v/>
      </c>
    </row>
    <row r="175" ht="33.75" customHeight="1" s="40">
      <c r="A175" s="77" t="n"/>
      <c r="B175" s="78" t="n"/>
      <c r="C175" s="78" t="n"/>
      <c r="D175" s="78" t="n"/>
      <c r="E175" s="78" t="n"/>
      <c r="F175" s="77" t="n"/>
      <c r="G175" s="81">
        <f>IF(C175="","",IF(D175="","NOT CATEGORIZED",IF(AND(D175="apprenticeship",E175=""),"NOBODY NAMED TO RECEIVE IT","")))</f>
        <v/>
      </c>
    </row>
    <row r="176" ht="33.75" customHeight="1" s="40">
      <c r="A176" s="82" t="n"/>
      <c r="B176" s="83" t="n"/>
      <c r="C176" s="83" t="n"/>
      <c r="D176" s="83" t="n"/>
      <c r="E176" s="83" t="n"/>
      <c r="F176" s="82" t="n"/>
      <c r="G176" s="81">
        <f>IF(C176="","",IF(D176="","NOT CATEGORIZED",IF(AND(D176="apprenticeship",E176=""),"NOBODY NAMED TO RECEIVE IT","")))</f>
        <v/>
      </c>
    </row>
    <row r="177" ht="33.75" customHeight="1" s="40">
      <c r="A177" s="77" t="n"/>
      <c r="B177" s="78" t="n"/>
      <c r="C177" s="78" t="n"/>
      <c r="D177" s="78" t="n"/>
      <c r="E177" s="78" t="n"/>
      <c r="F177" s="77" t="n"/>
      <c r="G177" s="81">
        <f>IF(C177="","",IF(D177="","NOT CATEGORIZED",IF(AND(D177="apprenticeship",E177=""),"NOBODY NAMED TO RECEIVE IT","")))</f>
        <v/>
      </c>
    </row>
    <row r="178" ht="33.75" customHeight="1" s="40">
      <c r="A178" s="82" t="n"/>
      <c r="B178" s="83" t="n"/>
      <c r="C178" s="83" t="n"/>
      <c r="D178" s="83" t="n"/>
      <c r="E178" s="83" t="n"/>
      <c r="F178" s="82" t="n"/>
      <c r="G178" s="81">
        <f>IF(C178="","",IF(D178="","NOT CATEGORIZED",IF(AND(D178="apprenticeship",E178=""),"NOBODY NAMED TO RECEIVE IT","")))</f>
        <v/>
      </c>
    </row>
    <row r="179" ht="33.75" customHeight="1" s="40">
      <c r="A179" s="77" t="n"/>
      <c r="B179" s="78" t="n"/>
      <c r="C179" s="78" t="n"/>
      <c r="D179" s="78" t="n"/>
      <c r="E179" s="78" t="n"/>
      <c r="F179" s="77" t="n"/>
      <c r="G179" s="81">
        <f>IF(C179="","",IF(D179="","NOT CATEGORIZED",IF(AND(D179="apprenticeship",E179=""),"NOBODY NAMED TO RECEIVE IT","")))</f>
        <v/>
      </c>
    </row>
    <row r="180" ht="33.75" customHeight="1" s="40">
      <c r="A180" s="82" t="n"/>
      <c r="B180" s="83" t="n"/>
      <c r="C180" s="83" t="n"/>
      <c r="D180" s="83" t="n"/>
      <c r="E180" s="83" t="n"/>
      <c r="F180" s="82" t="n"/>
      <c r="G180" s="81">
        <f>IF(C180="","",IF(D180="","NOT CATEGORIZED",IF(AND(D180="apprenticeship",E180=""),"NOBODY NAMED TO RECEIVE IT","")))</f>
        <v/>
      </c>
    </row>
    <row r="181" ht="33.75" customHeight="1" s="40">
      <c r="A181" s="77" t="n"/>
      <c r="B181" s="78" t="n"/>
      <c r="C181" s="78" t="n"/>
      <c r="D181" s="78" t="n"/>
      <c r="E181" s="78" t="n"/>
      <c r="F181" s="77" t="n"/>
      <c r="G181" s="81">
        <f>IF(C181="","",IF(D181="","NOT CATEGORIZED",IF(AND(D181="apprenticeship",E181=""),"NOBODY NAMED TO RECEIVE IT","")))</f>
        <v/>
      </c>
    </row>
    <row r="182" ht="33.75" customHeight="1" s="40">
      <c r="A182" s="82" t="n"/>
      <c r="B182" s="83" t="n"/>
      <c r="C182" s="83" t="n"/>
      <c r="D182" s="83" t="n"/>
      <c r="E182" s="83" t="n"/>
      <c r="F182" s="82" t="n"/>
      <c r="G182" s="81">
        <f>IF(C182="","",IF(D182="","NOT CATEGORIZED",IF(AND(D182="apprenticeship",E182=""),"NOBODY NAMED TO RECEIVE IT","")))</f>
        <v/>
      </c>
    </row>
    <row r="183" ht="33.75" customHeight="1" s="40">
      <c r="A183" s="77" t="n"/>
      <c r="B183" s="78" t="n"/>
      <c r="C183" s="78" t="n"/>
      <c r="D183" s="78" t="n"/>
      <c r="E183" s="78" t="n"/>
      <c r="F183" s="77" t="n"/>
      <c r="G183" s="81">
        <f>IF(C183="","",IF(D183="","NOT CATEGORIZED",IF(AND(D183="apprenticeship",E183=""),"NOBODY NAMED TO RECEIVE IT","")))</f>
        <v/>
      </c>
    </row>
    <row r="184" ht="33.75" customHeight="1" s="40">
      <c r="A184" s="82" t="n"/>
      <c r="B184" s="83" t="n"/>
      <c r="C184" s="83" t="n"/>
      <c r="D184" s="83" t="n"/>
      <c r="E184" s="83" t="n"/>
      <c r="F184" s="82" t="n"/>
      <c r="G184" s="81">
        <f>IF(C184="","",IF(D184="","NOT CATEGORIZED",IF(AND(D184="apprenticeship",E184=""),"NOBODY NAMED TO RECEIVE IT","")))</f>
        <v/>
      </c>
    </row>
    <row r="185" ht="33.75" customHeight="1" s="40">
      <c r="A185" s="77" t="n"/>
      <c r="B185" s="78" t="n"/>
      <c r="C185" s="78" t="n"/>
      <c r="D185" s="78" t="n"/>
      <c r="E185" s="78" t="n"/>
      <c r="F185" s="77" t="n"/>
      <c r="G185" s="81">
        <f>IF(C185="","",IF(D185="","NOT CATEGORIZED",IF(AND(D185="apprenticeship",E185=""),"NOBODY NAMED TO RECEIVE IT","")))</f>
        <v/>
      </c>
    </row>
    <row r="186" ht="33.75" customHeight="1" s="40">
      <c r="A186" s="82" t="n"/>
      <c r="B186" s="83" t="n"/>
      <c r="C186" s="83" t="n"/>
      <c r="D186" s="83" t="n"/>
      <c r="E186" s="83" t="n"/>
      <c r="F186" s="82" t="n"/>
      <c r="G186" s="81">
        <f>IF(C186="","",IF(D186="","NOT CATEGORIZED",IF(AND(D186="apprenticeship",E186=""),"NOBODY NAMED TO RECEIVE IT","")))</f>
        <v/>
      </c>
    </row>
    <row r="187" ht="33.75" customHeight="1" s="40">
      <c r="A187" s="77" t="n"/>
      <c r="B187" s="78" t="n"/>
      <c r="C187" s="78" t="n"/>
      <c r="D187" s="78" t="n"/>
      <c r="E187" s="78" t="n"/>
      <c r="F187" s="77" t="n"/>
      <c r="G187" s="81">
        <f>IF(C187="","",IF(D187="","NOT CATEGORIZED",IF(AND(D187="apprenticeship",E187=""),"NOBODY NAMED TO RECEIVE IT","")))</f>
        <v/>
      </c>
    </row>
    <row r="188" ht="33.75" customHeight="1" s="40">
      <c r="A188" s="82" t="n"/>
      <c r="B188" s="83" t="n"/>
      <c r="C188" s="83" t="n"/>
      <c r="D188" s="83" t="n"/>
      <c r="E188" s="83" t="n"/>
      <c r="F188" s="82" t="n"/>
      <c r="G188" s="81">
        <f>IF(C188="","",IF(D188="","NOT CATEGORIZED",IF(AND(D188="apprenticeship",E188=""),"NOBODY NAMED TO RECEIVE IT","")))</f>
        <v/>
      </c>
    </row>
    <row r="189" ht="33.75" customHeight="1" s="40">
      <c r="A189" s="77" t="n"/>
      <c r="B189" s="78" t="n"/>
      <c r="C189" s="78" t="n"/>
      <c r="D189" s="78" t="n"/>
      <c r="E189" s="78" t="n"/>
      <c r="F189" s="77" t="n"/>
      <c r="G189" s="81">
        <f>IF(C189="","",IF(D189="","NOT CATEGORIZED",IF(AND(D189="apprenticeship",E189=""),"NOBODY NAMED TO RECEIVE IT","")))</f>
        <v/>
      </c>
    </row>
    <row r="190" ht="33.75" customHeight="1" s="40">
      <c r="A190" s="82" t="n"/>
      <c r="B190" s="83" t="n"/>
      <c r="C190" s="83" t="n"/>
      <c r="D190" s="83" t="n"/>
      <c r="E190" s="83" t="n"/>
      <c r="F190" s="82" t="n"/>
      <c r="G190" s="81">
        <f>IF(C190="","",IF(D190="","NOT CATEGORIZED",IF(AND(D190="apprenticeship",E190=""),"NOBODY NAMED TO RECEIVE IT","")))</f>
        <v/>
      </c>
    </row>
    <row r="191" ht="33.75" customHeight="1" s="40">
      <c r="A191" s="77" t="n"/>
      <c r="B191" s="78" t="n"/>
      <c r="C191" s="78" t="n"/>
      <c r="D191" s="78" t="n"/>
      <c r="E191" s="78" t="n"/>
      <c r="F191" s="77" t="n"/>
      <c r="G191" s="81">
        <f>IF(C191="","",IF(D191="","NOT CATEGORIZED",IF(AND(D191="apprenticeship",E191=""),"NOBODY NAMED TO RECEIVE IT","")))</f>
        <v/>
      </c>
    </row>
    <row r="192" ht="33.75" customHeight="1" s="40">
      <c r="A192" s="82" t="n"/>
      <c r="B192" s="83" t="n"/>
      <c r="C192" s="83" t="n"/>
      <c r="D192" s="83" t="n"/>
      <c r="E192" s="83" t="n"/>
      <c r="F192" s="82" t="n"/>
      <c r="G192" s="81">
        <f>IF(C192="","",IF(D192="","NOT CATEGORIZED",IF(AND(D192="apprenticeship",E192=""),"NOBODY NAMED TO RECEIVE IT","")))</f>
        <v/>
      </c>
    </row>
    <row r="193" ht="33.75" customHeight="1" s="40">
      <c r="A193" s="77" t="n"/>
      <c r="B193" s="78" t="n"/>
      <c r="C193" s="78" t="n"/>
      <c r="D193" s="78" t="n"/>
      <c r="E193" s="78" t="n"/>
      <c r="F193" s="77" t="n"/>
      <c r="G193" s="81">
        <f>IF(C193="","",IF(D193="","NOT CATEGORIZED",IF(AND(D193="apprenticeship",E193=""),"NOBODY NAMED TO RECEIVE IT","")))</f>
        <v/>
      </c>
    </row>
    <row r="194" ht="33.75" customHeight="1" s="40">
      <c r="A194" s="82" t="n"/>
      <c r="B194" s="83" t="n"/>
      <c r="C194" s="83" t="n"/>
      <c r="D194" s="83" t="n"/>
      <c r="E194" s="83" t="n"/>
      <c r="F194" s="82" t="n"/>
      <c r="G194" s="81">
        <f>IF(C194="","",IF(D194="","NOT CATEGORIZED",IF(AND(D194="apprenticeship",E194=""),"NOBODY NAMED TO RECEIVE IT","")))</f>
        <v/>
      </c>
    </row>
    <row r="195" ht="33.75" customHeight="1" s="40">
      <c r="A195" s="77" t="n"/>
      <c r="B195" s="78" t="n"/>
      <c r="C195" s="78" t="n"/>
      <c r="D195" s="78" t="n"/>
      <c r="E195" s="78" t="n"/>
      <c r="F195" s="77" t="n"/>
      <c r="G195" s="81">
        <f>IF(C195="","",IF(D195="","NOT CATEGORIZED",IF(AND(D195="apprenticeship",E195=""),"NOBODY NAMED TO RECEIVE IT","")))</f>
        <v/>
      </c>
    </row>
    <row r="196" ht="33.75" customHeight="1" s="40">
      <c r="A196" s="82" t="n"/>
      <c r="B196" s="83" t="n"/>
      <c r="C196" s="83" t="n"/>
      <c r="D196" s="83" t="n"/>
      <c r="E196" s="83" t="n"/>
      <c r="F196" s="82" t="n"/>
      <c r="G196" s="81">
        <f>IF(C196="","",IF(D196="","NOT CATEGORIZED",IF(AND(D196="apprenticeship",E196=""),"NOBODY NAMED TO RECEIVE IT","")))</f>
        <v/>
      </c>
    </row>
    <row r="197" ht="33.75" customHeight="1" s="40">
      <c r="A197" s="77" t="n"/>
      <c r="B197" s="78" t="n"/>
      <c r="C197" s="78" t="n"/>
      <c r="D197" s="78" t="n"/>
      <c r="E197" s="78" t="n"/>
      <c r="F197" s="77" t="n"/>
      <c r="G197" s="81">
        <f>IF(C197="","",IF(D197="","NOT CATEGORIZED",IF(AND(D197="apprenticeship",E197=""),"NOBODY NAMED TO RECEIVE IT","")))</f>
        <v/>
      </c>
    </row>
    <row r="198" ht="33.75" customHeight="1" s="40">
      <c r="A198" s="82" t="n"/>
      <c r="B198" s="83" t="n"/>
      <c r="C198" s="83" t="n"/>
      <c r="D198" s="83" t="n"/>
      <c r="E198" s="83" t="n"/>
      <c r="F198" s="82" t="n"/>
      <c r="G198" s="81">
        <f>IF(C198="","",IF(D198="","NOT CATEGORIZED",IF(AND(D198="apprenticeship",E198=""),"NOBODY NAMED TO RECEIVE IT","")))</f>
        <v/>
      </c>
    </row>
    <row r="199" ht="33.75" customHeight="1" s="40">
      <c r="A199" s="77" t="n"/>
      <c r="B199" s="78" t="n"/>
      <c r="C199" s="78" t="n"/>
      <c r="D199" s="78" t="n"/>
      <c r="E199" s="78" t="n"/>
      <c r="F199" s="77" t="n"/>
      <c r="G199" s="81">
        <f>IF(C199="","",IF(D199="","NOT CATEGORIZED",IF(AND(D199="apprenticeship",E199=""),"NOBODY NAMED TO RECEIVE IT","")))</f>
        <v/>
      </c>
    </row>
    <row r="200" ht="33.75" customHeight="1" s="40">
      <c r="A200" s="82" t="n"/>
      <c r="B200" s="83" t="n"/>
      <c r="C200" s="83" t="n"/>
      <c r="D200" s="83" t="n"/>
      <c r="E200" s="83" t="n"/>
      <c r="F200" s="82" t="n"/>
      <c r="G200" s="81">
        <f>IF(C200="","",IF(D200="","NOT CATEGORIZED",IF(AND(D200="apprenticeship",E200=""),"NOBODY NAMED TO RECEIVE IT","")))</f>
        <v/>
      </c>
    </row>
    <row r="201" ht="33.75" customHeight="1" s="40">
      <c r="A201" s="77" t="n"/>
      <c r="B201" s="78" t="n"/>
      <c r="C201" s="78" t="n"/>
      <c r="D201" s="78" t="n"/>
      <c r="E201" s="78" t="n"/>
      <c r="F201" s="77" t="n"/>
      <c r="G201" s="81">
        <f>IF(C201="","",IF(D201="","NOT CATEGORIZED",IF(AND(D201="apprenticeship",E201=""),"NOBODY NAMED TO RECEIVE IT","")))</f>
        <v/>
      </c>
    </row>
    <row r="202" ht="33.75" customHeight="1" s="40">
      <c r="A202" s="82" t="n"/>
      <c r="B202" s="83" t="n"/>
      <c r="C202" s="83" t="n"/>
      <c r="D202" s="83" t="n"/>
      <c r="E202" s="83" t="n"/>
      <c r="F202" s="82" t="n"/>
      <c r="G202" s="81">
        <f>IF(C202="","",IF(D202="","NOT CATEGORIZED",IF(AND(D202="apprenticeship",E202=""),"NOBODY NAMED TO RECEIVE IT","")))</f>
        <v/>
      </c>
    </row>
    <row r="203" ht="33.75" customHeight="1" s="40">
      <c r="A203" s="77" t="n"/>
      <c r="B203" s="78" t="n"/>
      <c r="C203" s="78" t="n"/>
      <c r="D203" s="78" t="n"/>
      <c r="E203" s="78" t="n"/>
      <c r="F203" s="77" t="n"/>
      <c r="G203" s="81">
        <f>IF(C203="","",IF(D203="","NOT CATEGORIZED",IF(AND(D203="apprenticeship",E203=""),"NOBODY NAMED TO RECEIVE IT","")))</f>
        <v/>
      </c>
    </row>
    <row r="204" ht="33.75" customHeight="1" s="40">
      <c r="A204" s="82" t="n"/>
      <c r="B204" s="83" t="n"/>
      <c r="C204" s="83" t="n"/>
      <c r="D204" s="83" t="n"/>
      <c r="E204" s="83" t="n"/>
      <c r="F204" s="82" t="n"/>
      <c r="G204" s="81">
        <f>IF(C204="","",IF(D204="","NOT CATEGORIZED",IF(AND(D204="apprenticeship",E204=""),"NOBODY NAMED TO RECEIVE IT","")))</f>
        <v/>
      </c>
    </row>
    <row r="205" ht="15.75" customHeight="1" s="40">
      <c r="A205" s="86" t="inlineStr">
        <is>
          <t>END OF FORM—rows below this line are not included in any calculation</t>
        </is>
      </c>
    </row>
    <row r="206"/>
    <row r="207" ht="15" customHeight="1" s="40">
      <c r="A207" s="87" t="inlineStr">
        <is>
          <t>‘Will not transfer’ is a legitimate category and belongs in the inventory. Relationships and plant memory usually sit there. Recording that something is being lost is more useful than a line item claiming it was not.</t>
        </is>
      </c>
    </row>
    <row r="208" ht="15" customHeight="1" s="40"/>
  </sheetData>
  <sheetProtection selectLockedCells="0" selectUnlockedCells="0" sheet="1" objects="0" insertRows="1" insertHyperlinks="1" autoFilter="1" scenarios="0" formatColumns="1" deleteColumns="1" insertColumns="1" pivotTables="1" deleteRows="1" formatCells="1" formatRows="1" sort="1"/>
  <autoFilter ref="A4:G204"/>
  <mergeCells count="4">
    <mergeCell ref="A1:G1"/>
    <mergeCell ref="A2:G2"/>
    <mergeCell ref="A205:G205"/>
    <mergeCell ref="A207:G208"/>
  </mergeCells>
  <conditionalFormatting sqref="G5:G204">
    <cfRule type="expression" rank="0" priority="2" equalAverage="0" aboveAverage="0" dxfId="6" text="" percent="0" bottom="0">
      <formula>$G5&lt;&gt;""</formula>
    </cfRule>
  </conditionalFormatting>
  <conditionalFormatting sqref="D5:D204">
    <cfRule type="expression" rank="0" priority="3" equalAverage="0" aboveAverage="0" dxfId="7" text="" percent="0" bottom="0">
      <formula>$D5="will not transfer"</formula>
    </cfRule>
  </conditionalFormatting>
  <conditionalFormatting sqref="F5:F204">
    <cfRule type="expression" rank="0" priority="4" equalAverage="0" aboveAverage="0" dxfId="8" text="" percent="0" bottom="0">
      <formula>$F5="yes"</formula>
    </cfRule>
  </conditionalFormatting>
  <dataValidations count="2">
    <dataValidation sqref="D5:D204" showDropDown="0" showInputMessage="0" showErrorMessage="1" allowBlank="1" type="list" errorStyle="stop" operator="between">
      <formula1>"already documented,to be documented,to be engineered out,apprenticeship,will not transfer"</formula1>
      <formula2>0</formula2>
    </dataValidation>
    <dataValidation sqref="F5:F204" showDropDown="0" showInputMessage="0"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K68"/>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70" min="1" max="1"/>
    <col width="34" customWidth="1" style="70" min="2" max="2"/>
    <col width="14" customWidth="1" style="70" min="3" max="4"/>
    <col width="15" customWidth="1" style="70" min="5" max="5"/>
    <col width="14" customWidth="1" style="70" min="6" max="7"/>
    <col width="15" customWidth="1" style="70" min="8" max="10"/>
    <col width="24" customWidth="1" style="70" min="11" max="11"/>
  </cols>
  <sheetData>
    <row r="1" ht="25.5" customHeight="1" s="40">
      <c r="A1" s="71" t="inlineStr">
        <is>
          <t>TRANSFER VERIFICATION TRACKER</t>
        </is>
      </c>
    </row>
    <row r="2" ht="15.75" customHeight="1" s="40">
      <c r="A2" s="72" t="inlineStr">
        <is>
          <t>How often does the difficult event happen, and how long until they go? That is how many chances you have.</t>
        </is>
      </c>
    </row>
    <row r="3"/>
    <row r="4" ht="30" customHeight="1" s="40">
      <c r="A4" s="76" t="inlineStr">
        <is>
          <t>Ref</t>
        </is>
      </c>
      <c r="B4" s="76" t="inlineStr">
        <is>
          <t>What is being transferred</t>
        </is>
      </c>
      <c r="C4" s="76" t="inlineStr">
        <is>
          <t>From</t>
        </is>
      </c>
      <c r="D4" s="76" t="inlineStr">
        <is>
          <t>To</t>
        </is>
      </c>
      <c r="E4" s="76" t="inlineStr">
        <is>
          <t>Leaving date</t>
        </is>
      </c>
      <c r="F4" s="76" t="inlineStr">
        <is>
          <t>Events per year</t>
        </is>
      </c>
      <c r="G4" s="76" t="inlineStr">
        <is>
          <t>Chances left</t>
        </is>
      </c>
      <c r="H4" s="76" t="inlineStr">
        <is>
          <t>Occ. 1 unaided?</t>
        </is>
      </c>
      <c r="I4" s="76" t="inlineStr">
        <is>
          <t>Occ. 2 unaided?</t>
        </is>
      </c>
      <c r="J4" s="76" t="inlineStr">
        <is>
          <t>Occ. 3 unaided?</t>
        </is>
      </c>
      <c r="K4" s="76" t="inlineStr">
        <is>
          <t>Flag</t>
        </is>
      </c>
    </row>
    <row r="5" ht="31.5" customHeight="1" s="40">
      <c r="A5" s="77" t="n"/>
      <c r="B5" s="78" t="n"/>
      <c r="C5" s="77" t="n"/>
      <c r="D5" s="77" t="n"/>
      <c r="E5" s="80" t="n"/>
      <c r="F5" s="77" t="n"/>
      <c r="G5" s="90">
        <f>IF(OR(NOT(ISNUMBER(E5)),NOT(ISNUMBER(F5))),"",ROUND((E5-TODAY())/365*F5,1))</f>
        <v/>
      </c>
      <c r="H5" s="77" t="n"/>
      <c r="I5" s="77" t="n"/>
      <c r="J5" s="77" t="n"/>
      <c r="K5" s="81">
        <f>IF(B5="","",IF(AND(ISNUMBER(G5),G5&lt;3),"FEWER THAN THREE CHANCES",IF(COUNTIF(H5:J5,"yes")&gt;=3,"VERIFIED","")))</f>
        <v/>
      </c>
    </row>
    <row r="6" ht="31.5" customHeight="1" s="40">
      <c r="A6" s="82" t="n"/>
      <c r="B6" s="83" t="n"/>
      <c r="C6" s="82" t="n"/>
      <c r="D6" s="82" t="n"/>
      <c r="E6" s="85" t="n"/>
      <c r="F6" s="82" t="n"/>
      <c r="G6" s="90">
        <f>IF(OR(NOT(ISNUMBER(E6)),NOT(ISNUMBER(F6))),"",ROUND((E6-TODAY())/365*F6,1))</f>
        <v/>
      </c>
      <c r="H6" s="82" t="n"/>
      <c r="I6" s="82" t="n"/>
      <c r="J6" s="82" t="n"/>
      <c r="K6" s="81">
        <f>IF(B6="","",IF(AND(ISNUMBER(G6),G6&lt;3),"FEWER THAN THREE CHANCES",IF(COUNTIF(H6:J6,"yes")&gt;=3,"VERIFIED","")))</f>
        <v/>
      </c>
    </row>
    <row r="7" ht="31.5" customHeight="1" s="40">
      <c r="A7" s="77" t="n"/>
      <c r="B7" s="78" t="n"/>
      <c r="C7" s="77" t="n"/>
      <c r="D7" s="77" t="n"/>
      <c r="E7" s="80" t="n"/>
      <c r="F7" s="77" t="n"/>
      <c r="G7" s="90">
        <f>IF(OR(NOT(ISNUMBER(E7)),NOT(ISNUMBER(F7))),"",ROUND((E7-TODAY())/365*F7,1))</f>
        <v/>
      </c>
      <c r="H7" s="77" t="n"/>
      <c r="I7" s="77" t="n"/>
      <c r="J7" s="77" t="n"/>
      <c r="K7" s="81">
        <f>IF(B7="","",IF(AND(ISNUMBER(G7),G7&lt;3),"FEWER THAN THREE CHANCES",IF(COUNTIF(H7:J7,"yes")&gt;=3,"VERIFIED","")))</f>
        <v/>
      </c>
    </row>
    <row r="8" ht="31.5" customHeight="1" s="40">
      <c r="A8" s="82" t="n"/>
      <c r="B8" s="83" t="n"/>
      <c r="C8" s="82" t="n"/>
      <c r="D8" s="82" t="n"/>
      <c r="E8" s="85" t="n"/>
      <c r="F8" s="82" t="n"/>
      <c r="G8" s="90">
        <f>IF(OR(NOT(ISNUMBER(E8)),NOT(ISNUMBER(F8))),"",ROUND((E8-TODAY())/365*F8,1))</f>
        <v/>
      </c>
      <c r="H8" s="82" t="n"/>
      <c r="I8" s="82" t="n"/>
      <c r="J8" s="82" t="n"/>
      <c r="K8" s="81">
        <f>IF(B8="","",IF(AND(ISNUMBER(G8),G8&lt;3),"FEWER THAN THREE CHANCES",IF(COUNTIF(H8:J8,"yes")&gt;=3,"VERIFIED","")))</f>
        <v/>
      </c>
    </row>
    <row r="9" ht="31.5" customHeight="1" s="40">
      <c r="A9" s="77" t="n"/>
      <c r="B9" s="78" t="n"/>
      <c r="C9" s="77" t="n"/>
      <c r="D9" s="77" t="n"/>
      <c r="E9" s="80" t="n"/>
      <c r="F9" s="77" t="n"/>
      <c r="G9" s="90">
        <f>IF(OR(NOT(ISNUMBER(E9)),NOT(ISNUMBER(F9))),"",ROUND((E9-TODAY())/365*F9,1))</f>
        <v/>
      </c>
      <c r="H9" s="77" t="n"/>
      <c r="I9" s="77" t="n"/>
      <c r="J9" s="77" t="n"/>
      <c r="K9" s="81">
        <f>IF(B9="","",IF(AND(ISNUMBER(G9),G9&lt;3),"FEWER THAN THREE CHANCES",IF(COUNTIF(H9:J9,"yes")&gt;=3,"VERIFIED","")))</f>
        <v/>
      </c>
    </row>
    <row r="10" ht="31.5" customHeight="1" s="40">
      <c r="A10" s="82" t="n"/>
      <c r="B10" s="83" t="n"/>
      <c r="C10" s="82" t="n"/>
      <c r="D10" s="82" t="n"/>
      <c r="E10" s="85" t="n"/>
      <c r="F10" s="82" t="n"/>
      <c r="G10" s="90">
        <f>IF(OR(NOT(ISNUMBER(E10)),NOT(ISNUMBER(F10))),"",ROUND((E10-TODAY())/365*F10,1))</f>
        <v/>
      </c>
      <c r="H10" s="82" t="n"/>
      <c r="I10" s="82" t="n"/>
      <c r="J10" s="82" t="n"/>
      <c r="K10" s="81">
        <f>IF(B10="","",IF(AND(ISNUMBER(G10),G10&lt;3),"FEWER THAN THREE CHANCES",IF(COUNTIF(H10:J10,"yes")&gt;=3,"VERIFIED","")))</f>
        <v/>
      </c>
    </row>
    <row r="11" ht="31.5" customHeight="1" s="40">
      <c r="A11" s="77" t="n"/>
      <c r="B11" s="78" t="n"/>
      <c r="C11" s="77" t="n"/>
      <c r="D11" s="77" t="n"/>
      <c r="E11" s="80" t="n"/>
      <c r="F11" s="77" t="n"/>
      <c r="G11" s="90">
        <f>IF(OR(NOT(ISNUMBER(E11)),NOT(ISNUMBER(F11))),"",ROUND((E11-TODAY())/365*F11,1))</f>
        <v/>
      </c>
      <c r="H11" s="77" t="n"/>
      <c r="I11" s="77" t="n"/>
      <c r="J11" s="77" t="n"/>
      <c r="K11" s="81">
        <f>IF(B11="","",IF(AND(ISNUMBER(G11),G11&lt;3),"FEWER THAN THREE CHANCES",IF(COUNTIF(H11:J11,"yes")&gt;=3,"VERIFIED","")))</f>
        <v/>
      </c>
    </row>
    <row r="12" ht="31.5" customHeight="1" s="40">
      <c r="A12" s="82" t="n"/>
      <c r="B12" s="83" t="n"/>
      <c r="C12" s="82" t="n"/>
      <c r="D12" s="82" t="n"/>
      <c r="E12" s="85" t="n"/>
      <c r="F12" s="82" t="n"/>
      <c r="G12" s="90">
        <f>IF(OR(NOT(ISNUMBER(E12)),NOT(ISNUMBER(F12))),"",ROUND((E12-TODAY())/365*F12,1))</f>
        <v/>
      </c>
      <c r="H12" s="82" t="n"/>
      <c r="I12" s="82" t="n"/>
      <c r="J12" s="82" t="n"/>
      <c r="K12" s="81">
        <f>IF(B12="","",IF(AND(ISNUMBER(G12),G12&lt;3),"FEWER THAN THREE CHANCES",IF(COUNTIF(H12:J12,"yes")&gt;=3,"VERIFIED","")))</f>
        <v/>
      </c>
    </row>
    <row r="13" ht="31.5" customHeight="1" s="40">
      <c r="A13" s="77" t="n"/>
      <c r="B13" s="78" t="n"/>
      <c r="C13" s="77" t="n"/>
      <c r="D13" s="77" t="n"/>
      <c r="E13" s="80" t="n"/>
      <c r="F13" s="77" t="n"/>
      <c r="G13" s="90">
        <f>IF(OR(NOT(ISNUMBER(E13)),NOT(ISNUMBER(F13))),"",ROUND((E13-TODAY())/365*F13,1))</f>
        <v/>
      </c>
      <c r="H13" s="77" t="n"/>
      <c r="I13" s="77" t="n"/>
      <c r="J13" s="77" t="n"/>
      <c r="K13" s="81">
        <f>IF(B13="","",IF(AND(ISNUMBER(G13),G13&lt;3),"FEWER THAN THREE CHANCES",IF(COUNTIF(H13:J13,"yes")&gt;=3,"VERIFIED","")))</f>
        <v/>
      </c>
    </row>
    <row r="14" ht="31.5" customHeight="1" s="40">
      <c r="A14" s="82" t="n"/>
      <c r="B14" s="83" t="n"/>
      <c r="C14" s="82" t="n"/>
      <c r="D14" s="82" t="n"/>
      <c r="E14" s="85" t="n"/>
      <c r="F14" s="82" t="n"/>
      <c r="G14" s="90">
        <f>IF(OR(NOT(ISNUMBER(E14)),NOT(ISNUMBER(F14))),"",ROUND((E14-TODAY())/365*F14,1))</f>
        <v/>
      </c>
      <c r="H14" s="82" t="n"/>
      <c r="I14" s="82" t="n"/>
      <c r="J14" s="82" t="n"/>
      <c r="K14" s="81">
        <f>IF(B14="","",IF(AND(ISNUMBER(G14),G14&lt;3),"FEWER THAN THREE CHANCES",IF(COUNTIF(H14:J14,"yes")&gt;=3,"VERIFIED","")))</f>
        <v/>
      </c>
    </row>
    <row r="15" ht="31.5" customHeight="1" s="40">
      <c r="A15" s="77" t="n"/>
      <c r="B15" s="78" t="n"/>
      <c r="C15" s="77" t="n"/>
      <c r="D15" s="77" t="n"/>
      <c r="E15" s="80" t="n"/>
      <c r="F15" s="77" t="n"/>
      <c r="G15" s="90">
        <f>IF(OR(NOT(ISNUMBER(E15)),NOT(ISNUMBER(F15))),"",ROUND((E15-TODAY())/365*F15,1))</f>
        <v/>
      </c>
      <c r="H15" s="77" t="n"/>
      <c r="I15" s="77" t="n"/>
      <c r="J15" s="77" t="n"/>
      <c r="K15" s="81">
        <f>IF(B15="","",IF(AND(ISNUMBER(G15),G15&lt;3),"FEWER THAN THREE CHANCES",IF(COUNTIF(H15:J15,"yes")&gt;=3,"VERIFIED","")))</f>
        <v/>
      </c>
    </row>
    <row r="16" ht="31.5" customHeight="1" s="40">
      <c r="A16" s="82" t="n"/>
      <c r="B16" s="83" t="n"/>
      <c r="C16" s="82" t="n"/>
      <c r="D16" s="82" t="n"/>
      <c r="E16" s="85" t="n"/>
      <c r="F16" s="82" t="n"/>
      <c r="G16" s="90">
        <f>IF(OR(NOT(ISNUMBER(E16)),NOT(ISNUMBER(F16))),"",ROUND((E16-TODAY())/365*F16,1))</f>
        <v/>
      </c>
      <c r="H16" s="82" t="n"/>
      <c r="I16" s="82" t="n"/>
      <c r="J16" s="82" t="n"/>
      <c r="K16" s="81">
        <f>IF(B16="","",IF(AND(ISNUMBER(G16),G16&lt;3),"FEWER THAN THREE CHANCES",IF(COUNTIF(H16:J16,"yes")&gt;=3,"VERIFIED","")))</f>
        <v/>
      </c>
    </row>
    <row r="17" ht="31.5" customHeight="1" s="40">
      <c r="A17" s="77" t="n"/>
      <c r="B17" s="78" t="n"/>
      <c r="C17" s="77" t="n"/>
      <c r="D17" s="77" t="n"/>
      <c r="E17" s="80" t="n"/>
      <c r="F17" s="77" t="n"/>
      <c r="G17" s="90">
        <f>IF(OR(NOT(ISNUMBER(E17)),NOT(ISNUMBER(F17))),"",ROUND((E17-TODAY())/365*F17,1))</f>
        <v/>
      </c>
      <c r="H17" s="77" t="n"/>
      <c r="I17" s="77" t="n"/>
      <c r="J17" s="77" t="n"/>
      <c r="K17" s="81">
        <f>IF(B17="","",IF(AND(ISNUMBER(G17),G17&lt;3),"FEWER THAN THREE CHANCES",IF(COUNTIF(H17:J17,"yes")&gt;=3,"VERIFIED","")))</f>
        <v/>
      </c>
    </row>
    <row r="18" ht="31.5" customHeight="1" s="40">
      <c r="A18" s="82" t="n"/>
      <c r="B18" s="83" t="n"/>
      <c r="C18" s="82" t="n"/>
      <c r="D18" s="82" t="n"/>
      <c r="E18" s="85" t="n"/>
      <c r="F18" s="82" t="n"/>
      <c r="G18" s="90">
        <f>IF(OR(NOT(ISNUMBER(E18)),NOT(ISNUMBER(F18))),"",ROUND((E18-TODAY())/365*F18,1))</f>
        <v/>
      </c>
      <c r="H18" s="82" t="n"/>
      <c r="I18" s="82" t="n"/>
      <c r="J18" s="82" t="n"/>
      <c r="K18" s="81">
        <f>IF(B18="","",IF(AND(ISNUMBER(G18),G18&lt;3),"FEWER THAN THREE CHANCES",IF(COUNTIF(H18:J18,"yes")&gt;=3,"VERIFIED","")))</f>
        <v/>
      </c>
    </row>
    <row r="19" ht="31.5" customHeight="1" s="40">
      <c r="A19" s="77" t="n"/>
      <c r="B19" s="78" t="n"/>
      <c r="C19" s="77" t="n"/>
      <c r="D19" s="77" t="n"/>
      <c r="E19" s="80" t="n"/>
      <c r="F19" s="77" t="n"/>
      <c r="G19" s="90">
        <f>IF(OR(NOT(ISNUMBER(E19)),NOT(ISNUMBER(F19))),"",ROUND((E19-TODAY())/365*F19,1))</f>
        <v/>
      </c>
      <c r="H19" s="77" t="n"/>
      <c r="I19" s="77" t="n"/>
      <c r="J19" s="77" t="n"/>
      <c r="K19" s="81">
        <f>IF(B19="","",IF(AND(ISNUMBER(G19),G19&lt;3),"FEWER THAN THREE CHANCES",IF(COUNTIF(H19:J19,"yes")&gt;=3,"VERIFIED","")))</f>
        <v/>
      </c>
    </row>
    <row r="20" ht="31.5" customHeight="1" s="40">
      <c r="A20" s="82" t="n"/>
      <c r="B20" s="83" t="n"/>
      <c r="C20" s="82" t="n"/>
      <c r="D20" s="82" t="n"/>
      <c r="E20" s="85" t="n"/>
      <c r="F20" s="82" t="n"/>
      <c r="G20" s="90">
        <f>IF(OR(NOT(ISNUMBER(E20)),NOT(ISNUMBER(F20))),"",ROUND((E20-TODAY())/365*F20,1))</f>
        <v/>
      </c>
      <c r="H20" s="82" t="n"/>
      <c r="I20" s="82" t="n"/>
      <c r="J20" s="82" t="n"/>
      <c r="K20" s="81">
        <f>IF(B20="","",IF(AND(ISNUMBER(G20),G20&lt;3),"FEWER THAN THREE CHANCES",IF(COUNTIF(H20:J20,"yes")&gt;=3,"VERIFIED","")))</f>
        <v/>
      </c>
    </row>
    <row r="21" ht="31.5" customHeight="1" s="40">
      <c r="A21" s="77" t="n"/>
      <c r="B21" s="78" t="n"/>
      <c r="C21" s="77" t="n"/>
      <c r="D21" s="77" t="n"/>
      <c r="E21" s="80" t="n"/>
      <c r="F21" s="77" t="n"/>
      <c r="G21" s="90">
        <f>IF(OR(NOT(ISNUMBER(E21)),NOT(ISNUMBER(F21))),"",ROUND((E21-TODAY())/365*F21,1))</f>
        <v/>
      </c>
      <c r="H21" s="77" t="n"/>
      <c r="I21" s="77" t="n"/>
      <c r="J21" s="77" t="n"/>
      <c r="K21" s="81">
        <f>IF(B21="","",IF(AND(ISNUMBER(G21),G21&lt;3),"FEWER THAN THREE CHANCES",IF(COUNTIF(H21:J21,"yes")&gt;=3,"VERIFIED","")))</f>
        <v/>
      </c>
    </row>
    <row r="22" ht="31.5" customHeight="1" s="40">
      <c r="A22" s="82" t="n"/>
      <c r="B22" s="83" t="n"/>
      <c r="C22" s="82" t="n"/>
      <c r="D22" s="82" t="n"/>
      <c r="E22" s="85" t="n"/>
      <c r="F22" s="82" t="n"/>
      <c r="G22" s="90">
        <f>IF(OR(NOT(ISNUMBER(E22)),NOT(ISNUMBER(F22))),"",ROUND((E22-TODAY())/365*F22,1))</f>
        <v/>
      </c>
      <c r="H22" s="82" t="n"/>
      <c r="I22" s="82" t="n"/>
      <c r="J22" s="82" t="n"/>
      <c r="K22" s="81">
        <f>IF(B22="","",IF(AND(ISNUMBER(G22),G22&lt;3),"FEWER THAN THREE CHANCES",IF(COUNTIF(H22:J22,"yes")&gt;=3,"VERIFIED","")))</f>
        <v/>
      </c>
    </row>
    <row r="23" ht="31.5" customHeight="1" s="40">
      <c r="A23" s="77" t="n"/>
      <c r="B23" s="78" t="n"/>
      <c r="C23" s="77" t="n"/>
      <c r="D23" s="77" t="n"/>
      <c r="E23" s="80" t="n"/>
      <c r="F23" s="77" t="n"/>
      <c r="G23" s="90">
        <f>IF(OR(NOT(ISNUMBER(E23)),NOT(ISNUMBER(F23))),"",ROUND((E23-TODAY())/365*F23,1))</f>
        <v/>
      </c>
      <c r="H23" s="77" t="n"/>
      <c r="I23" s="77" t="n"/>
      <c r="J23" s="77" t="n"/>
      <c r="K23" s="81">
        <f>IF(B23="","",IF(AND(ISNUMBER(G23),G23&lt;3),"FEWER THAN THREE CHANCES",IF(COUNTIF(H23:J23,"yes")&gt;=3,"VERIFIED","")))</f>
        <v/>
      </c>
    </row>
    <row r="24" ht="31.5" customHeight="1" s="40">
      <c r="A24" s="82" t="n"/>
      <c r="B24" s="83" t="n"/>
      <c r="C24" s="82" t="n"/>
      <c r="D24" s="82" t="n"/>
      <c r="E24" s="85" t="n"/>
      <c r="F24" s="82" t="n"/>
      <c r="G24" s="90">
        <f>IF(OR(NOT(ISNUMBER(E24)),NOT(ISNUMBER(F24))),"",ROUND((E24-TODAY())/365*F24,1))</f>
        <v/>
      </c>
      <c r="H24" s="82" t="n"/>
      <c r="I24" s="82" t="n"/>
      <c r="J24" s="82" t="n"/>
      <c r="K24" s="81">
        <f>IF(B24="","",IF(AND(ISNUMBER(G24),G24&lt;3),"FEWER THAN THREE CHANCES",IF(COUNTIF(H24:J24,"yes")&gt;=3,"VERIFIED","")))</f>
        <v/>
      </c>
    </row>
    <row r="25" ht="31.5" customHeight="1" s="40">
      <c r="A25" s="77" t="n"/>
      <c r="B25" s="78" t="n"/>
      <c r="C25" s="77" t="n"/>
      <c r="D25" s="77" t="n"/>
      <c r="E25" s="80" t="n"/>
      <c r="F25" s="77" t="n"/>
      <c r="G25" s="90">
        <f>IF(OR(NOT(ISNUMBER(E25)),NOT(ISNUMBER(F25))),"",ROUND((E25-TODAY())/365*F25,1))</f>
        <v/>
      </c>
      <c r="H25" s="77" t="n"/>
      <c r="I25" s="77" t="n"/>
      <c r="J25" s="77" t="n"/>
      <c r="K25" s="81">
        <f>IF(B25="","",IF(AND(ISNUMBER(G25),G25&lt;3),"FEWER THAN THREE CHANCES",IF(COUNTIF(H25:J25,"yes")&gt;=3,"VERIFIED","")))</f>
        <v/>
      </c>
    </row>
    <row r="26" ht="31.5" customHeight="1" s="40">
      <c r="A26" s="82" t="n"/>
      <c r="B26" s="83" t="n"/>
      <c r="C26" s="82" t="n"/>
      <c r="D26" s="82" t="n"/>
      <c r="E26" s="85" t="n"/>
      <c r="F26" s="82" t="n"/>
      <c r="G26" s="90">
        <f>IF(OR(NOT(ISNUMBER(E26)),NOT(ISNUMBER(F26))),"",ROUND((E26-TODAY())/365*F26,1))</f>
        <v/>
      </c>
      <c r="H26" s="82" t="n"/>
      <c r="I26" s="82" t="n"/>
      <c r="J26" s="82" t="n"/>
      <c r="K26" s="81">
        <f>IF(B26="","",IF(AND(ISNUMBER(G26),G26&lt;3),"FEWER THAN THREE CHANCES",IF(COUNTIF(H26:J26,"yes")&gt;=3,"VERIFIED","")))</f>
        <v/>
      </c>
    </row>
    <row r="27" ht="31.5" customHeight="1" s="40">
      <c r="A27" s="77" t="n"/>
      <c r="B27" s="78" t="n"/>
      <c r="C27" s="77" t="n"/>
      <c r="D27" s="77" t="n"/>
      <c r="E27" s="80" t="n"/>
      <c r="F27" s="77" t="n"/>
      <c r="G27" s="90">
        <f>IF(OR(NOT(ISNUMBER(E27)),NOT(ISNUMBER(F27))),"",ROUND((E27-TODAY())/365*F27,1))</f>
        <v/>
      </c>
      <c r="H27" s="77" t="n"/>
      <c r="I27" s="77" t="n"/>
      <c r="J27" s="77" t="n"/>
      <c r="K27" s="81">
        <f>IF(B27="","",IF(AND(ISNUMBER(G27),G27&lt;3),"FEWER THAN THREE CHANCES",IF(COUNTIF(H27:J27,"yes")&gt;=3,"VERIFIED","")))</f>
        <v/>
      </c>
    </row>
    <row r="28" ht="31.5" customHeight="1" s="40">
      <c r="A28" s="82" t="n"/>
      <c r="B28" s="83" t="n"/>
      <c r="C28" s="82" t="n"/>
      <c r="D28" s="82" t="n"/>
      <c r="E28" s="85" t="n"/>
      <c r="F28" s="82" t="n"/>
      <c r="G28" s="90">
        <f>IF(OR(NOT(ISNUMBER(E28)),NOT(ISNUMBER(F28))),"",ROUND((E28-TODAY())/365*F28,1))</f>
        <v/>
      </c>
      <c r="H28" s="82" t="n"/>
      <c r="I28" s="82" t="n"/>
      <c r="J28" s="82" t="n"/>
      <c r="K28" s="81">
        <f>IF(B28="","",IF(AND(ISNUMBER(G28),G28&lt;3),"FEWER THAN THREE CHANCES",IF(COUNTIF(H28:J28,"yes")&gt;=3,"VERIFIED","")))</f>
        <v/>
      </c>
    </row>
    <row r="29" ht="31.5" customHeight="1" s="40">
      <c r="A29" s="77" t="n"/>
      <c r="B29" s="78" t="n"/>
      <c r="C29" s="77" t="n"/>
      <c r="D29" s="77" t="n"/>
      <c r="E29" s="80" t="n"/>
      <c r="F29" s="77" t="n"/>
      <c r="G29" s="90">
        <f>IF(OR(NOT(ISNUMBER(E29)),NOT(ISNUMBER(F29))),"",ROUND((E29-TODAY())/365*F29,1))</f>
        <v/>
      </c>
      <c r="H29" s="77" t="n"/>
      <c r="I29" s="77" t="n"/>
      <c r="J29" s="77" t="n"/>
      <c r="K29" s="81">
        <f>IF(B29="","",IF(AND(ISNUMBER(G29),G29&lt;3),"FEWER THAN THREE CHANCES",IF(COUNTIF(H29:J29,"yes")&gt;=3,"VERIFIED","")))</f>
        <v/>
      </c>
    </row>
    <row r="30" ht="31.5" customHeight="1" s="40">
      <c r="A30" s="82" t="n"/>
      <c r="B30" s="83" t="n"/>
      <c r="C30" s="82" t="n"/>
      <c r="D30" s="82" t="n"/>
      <c r="E30" s="85" t="n"/>
      <c r="F30" s="82" t="n"/>
      <c r="G30" s="90">
        <f>IF(OR(NOT(ISNUMBER(E30)),NOT(ISNUMBER(F30))),"",ROUND((E30-TODAY())/365*F30,1))</f>
        <v/>
      </c>
      <c r="H30" s="82" t="n"/>
      <c r="I30" s="82" t="n"/>
      <c r="J30" s="82" t="n"/>
      <c r="K30" s="81">
        <f>IF(B30="","",IF(AND(ISNUMBER(G30),G30&lt;3),"FEWER THAN THREE CHANCES",IF(COUNTIF(H30:J30,"yes")&gt;=3,"VERIFIED","")))</f>
        <v/>
      </c>
    </row>
    <row r="31" ht="31.5" customHeight="1" s="40">
      <c r="A31" s="77" t="n"/>
      <c r="B31" s="78" t="n"/>
      <c r="C31" s="77" t="n"/>
      <c r="D31" s="77" t="n"/>
      <c r="E31" s="80" t="n"/>
      <c r="F31" s="77" t="n"/>
      <c r="G31" s="90">
        <f>IF(OR(NOT(ISNUMBER(E31)),NOT(ISNUMBER(F31))),"",ROUND((E31-TODAY())/365*F31,1))</f>
        <v/>
      </c>
      <c r="H31" s="77" t="n"/>
      <c r="I31" s="77" t="n"/>
      <c r="J31" s="77" t="n"/>
      <c r="K31" s="81">
        <f>IF(B31="","",IF(AND(ISNUMBER(G31),G31&lt;3),"FEWER THAN THREE CHANCES",IF(COUNTIF(H31:J31,"yes")&gt;=3,"VERIFIED","")))</f>
        <v/>
      </c>
    </row>
    <row r="32" ht="31.5" customHeight="1" s="40">
      <c r="A32" s="82" t="n"/>
      <c r="B32" s="83" t="n"/>
      <c r="C32" s="82" t="n"/>
      <c r="D32" s="82" t="n"/>
      <c r="E32" s="85" t="n"/>
      <c r="F32" s="82" t="n"/>
      <c r="G32" s="90">
        <f>IF(OR(NOT(ISNUMBER(E32)),NOT(ISNUMBER(F32))),"",ROUND((E32-TODAY())/365*F32,1))</f>
        <v/>
      </c>
      <c r="H32" s="82" t="n"/>
      <c r="I32" s="82" t="n"/>
      <c r="J32" s="82" t="n"/>
      <c r="K32" s="81">
        <f>IF(B32="","",IF(AND(ISNUMBER(G32),G32&lt;3),"FEWER THAN THREE CHANCES",IF(COUNTIF(H32:J32,"yes")&gt;=3,"VERIFIED","")))</f>
        <v/>
      </c>
    </row>
    <row r="33" ht="31.5" customHeight="1" s="40">
      <c r="A33" s="77" t="n"/>
      <c r="B33" s="78" t="n"/>
      <c r="C33" s="77" t="n"/>
      <c r="D33" s="77" t="n"/>
      <c r="E33" s="80" t="n"/>
      <c r="F33" s="77" t="n"/>
      <c r="G33" s="90">
        <f>IF(OR(NOT(ISNUMBER(E33)),NOT(ISNUMBER(F33))),"",ROUND((E33-TODAY())/365*F33,1))</f>
        <v/>
      </c>
      <c r="H33" s="77" t="n"/>
      <c r="I33" s="77" t="n"/>
      <c r="J33" s="77" t="n"/>
      <c r="K33" s="81">
        <f>IF(B33="","",IF(AND(ISNUMBER(G33),G33&lt;3),"FEWER THAN THREE CHANCES",IF(COUNTIF(H33:J33,"yes")&gt;=3,"VERIFIED","")))</f>
        <v/>
      </c>
    </row>
    <row r="34" ht="31.5" customHeight="1" s="40">
      <c r="A34" s="82" t="n"/>
      <c r="B34" s="83" t="n"/>
      <c r="C34" s="82" t="n"/>
      <c r="D34" s="82" t="n"/>
      <c r="E34" s="85" t="n"/>
      <c r="F34" s="82" t="n"/>
      <c r="G34" s="90">
        <f>IF(OR(NOT(ISNUMBER(E34)),NOT(ISNUMBER(F34))),"",ROUND((E34-TODAY())/365*F34,1))</f>
        <v/>
      </c>
      <c r="H34" s="82" t="n"/>
      <c r="I34" s="82" t="n"/>
      <c r="J34" s="82" t="n"/>
      <c r="K34" s="81">
        <f>IF(B34="","",IF(AND(ISNUMBER(G34),G34&lt;3),"FEWER THAN THREE CHANCES",IF(COUNTIF(H34:J34,"yes")&gt;=3,"VERIFIED","")))</f>
        <v/>
      </c>
    </row>
    <row r="35" ht="31.5" customHeight="1" s="40">
      <c r="A35" s="77" t="n"/>
      <c r="B35" s="78" t="n"/>
      <c r="C35" s="77" t="n"/>
      <c r="D35" s="77" t="n"/>
      <c r="E35" s="80" t="n"/>
      <c r="F35" s="77" t="n"/>
      <c r="G35" s="90">
        <f>IF(OR(NOT(ISNUMBER(E35)),NOT(ISNUMBER(F35))),"",ROUND((E35-TODAY())/365*F35,1))</f>
        <v/>
      </c>
      <c r="H35" s="77" t="n"/>
      <c r="I35" s="77" t="n"/>
      <c r="J35" s="77" t="n"/>
      <c r="K35" s="81">
        <f>IF(B35="","",IF(AND(ISNUMBER(G35),G35&lt;3),"FEWER THAN THREE CHANCES",IF(COUNTIF(H35:J35,"yes")&gt;=3,"VERIFIED","")))</f>
        <v/>
      </c>
    </row>
    <row r="36" ht="31.5" customHeight="1" s="40">
      <c r="A36" s="82" t="n"/>
      <c r="B36" s="83" t="n"/>
      <c r="C36" s="82" t="n"/>
      <c r="D36" s="82" t="n"/>
      <c r="E36" s="85" t="n"/>
      <c r="F36" s="82" t="n"/>
      <c r="G36" s="90">
        <f>IF(OR(NOT(ISNUMBER(E36)),NOT(ISNUMBER(F36))),"",ROUND((E36-TODAY())/365*F36,1))</f>
        <v/>
      </c>
      <c r="H36" s="82" t="n"/>
      <c r="I36" s="82" t="n"/>
      <c r="J36" s="82" t="n"/>
      <c r="K36" s="81">
        <f>IF(B36="","",IF(AND(ISNUMBER(G36),G36&lt;3),"FEWER THAN THREE CHANCES",IF(COUNTIF(H36:J36,"yes")&gt;=3,"VERIFIED","")))</f>
        <v/>
      </c>
    </row>
    <row r="37" ht="31.5" customHeight="1" s="40">
      <c r="A37" s="77" t="n"/>
      <c r="B37" s="78" t="n"/>
      <c r="C37" s="77" t="n"/>
      <c r="D37" s="77" t="n"/>
      <c r="E37" s="80" t="n"/>
      <c r="F37" s="77" t="n"/>
      <c r="G37" s="90">
        <f>IF(OR(NOT(ISNUMBER(E37)),NOT(ISNUMBER(F37))),"",ROUND((E37-TODAY())/365*F37,1))</f>
        <v/>
      </c>
      <c r="H37" s="77" t="n"/>
      <c r="I37" s="77" t="n"/>
      <c r="J37" s="77" t="n"/>
      <c r="K37" s="81">
        <f>IF(B37="","",IF(AND(ISNUMBER(G37),G37&lt;3),"FEWER THAN THREE CHANCES",IF(COUNTIF(H37:J37,"yes")&gt;=3,"VERIFIED","")))</f>
        <v/>
      </c>
    </row>
    <row r="38" ht="31.5" customHeight="1" s="40">
      <c r="A38" s="82" t="n"/>
      <c r="B38" s="83" t="n"/>
      <c r="C38" s="82" t="n"/>
      <c r="D38" s="82" t="n"/>
      <c r="E38" s="85" t="n"/>
      <c r="F38" s="82" t="n"/>
      <c r="G38" s="90">
        <f>IF(OR(NOT(ISNUMBER(E38)),NOT(ISNUMBER(F38))),"",ROUND((E38-TODAY())/365*F38,1))</f>
        <v/>
      </c>
      <c r="H38" s="82" t="n"/>
      <c r="I38" s="82" t="n"/>
      <c r="J38" s="82" t="n"/>
      <c r="K38" s="81">
        <f>IF(B38="","",IF(AND(ISNUMBER(G38),G38&lt;3),"FEWER THAN THREE CHANCES",IF(COUNTIF(H38:J38,"yes")&gt;=3,"VERIFIED","")))</f>
        <v/>
      </c>
    </row>
    <row r="39" ht="31.5" customHeight="1" s="40">
      <c r="A39" s="77" t="n"/>
      <c r="B39" s="78" t="n"/>
      <c r="C39" s="77" t="n"/>
      <c r="D39" s="77" t="n"/>
      <c r="E39" s="80" t="n"/>
      <c r="F39" s="77" t="n"/>
      <c r="G39" s="90">
        <f>IF(OR(NOT(ISNUMBER(E39)),NOT(ISNUMBER(F39))),"",ROUND((E39-TODAY())/365*F39,1))</f>
        <v/>
      </c>
      <c r="H39" s="77" t="n"/>
      <c r="I39" s="77" t="n"/>
      <c r="J39" s="77" t="n"/>
      <c r="K39" s="81">
        <f>IF(B39="","",IF(AND(ISNUMBER(G39),G39&lt;3),"FEWER THAN THREE CHANCES",IF(COUNTIF(H39:J39,"yes")&gt;=3,"VERIFIED","")))</f>
        <v/>
      </c>
    </row>
    <row r="40" ht="31.5" customHeight="1" s="40">
      <c r="A40" s="82" t="n"/>
      <c r="B40" s="83" t="n"/>
      <c r="C40" s="82" t="n"/>
      <c r="D40" s="82" t="n"/>
      <c r="E40" s="85" t="n"/>
      <c r="F40" s="82" t="n"/>
      <c r="G40" s="90">
        <f>IF(OR(NOT(ISNUMBER(E40)),NOT(ISNUMBER(F40))),"",ROUND((E40-TODAY())/365*F40,1))</f>
        <v/>
      </c>
      <c r="H40" s="82" t="n"/>
      <c r="I40" s="82" t="n"/>
      <c r="J40" s="82" t="n"/>
      <c r="K40" s="81">
        <f>IF(B40="","",IF(AND(ISNUMBER(G40),G40&lt;3),"FEWER THAN THREE CHANCES",IF(COUNTIF(H40:J40,"yes")&gt;=3,"VERIFIED","")))</f>
        <v/>
      </c>
    </row>
    <row r="41" ht="31.5" customHeight="1" s="40">
      <c r="A41" s="77" t="n"/>
      <c r="B41" s="78" t="n"/>
      <c r="C41" s="77" t="n"/>
      <c r="D41" s="77" t="n"/>
      <c r="E41" s="80" t="n"/>
      <c r="F41" s="77" t="n"/>
      <c r="G41" s="90">
        <f>IF(OR(NOT(ISNUMBER(E41)),NOT(ISNUMBER(F41))),"",ROUND((E41-TODAY())/365*F41,1))</f>
        <v/>
      </c>
      <c r="H41" s="77" t="n"/>
      <c r="I41" s="77" t="n"/>
      <c r="J41" s="77" t="n"/>
      <c r="K41" s="81">
        <f>IF(B41="","",IF(AND(ISNUMBER(G41),G41&lt;3),"FEWER THAN THREE CHANCES",IF(COUNTIF(H41:J41,"yes")&gt;=3,"VERIFIED","")))</f>
        <v/>
      </c>
    </row>
    <row r="42" ht="31.5" customHeight="1" s="40">
      <c r="A42" s="82" t="n"/>
      <c r="B42" s="83" t="n"/>
      <c r="C42" s="82" t="n"/>
      <c r="D42" s="82" t="n"/>
      <c r="E42" s="85" t="n"/>
      <c r="F42" s="82" t="n"/>
      <c r="G42" s="90">
        <f>IF(OR(NOT(ISNUMBER(E42)),NOT(ISNUMBER(F42))),"",ROUND((E42-TODAY())/365*F42,1))</f>
        <v/>
      </c>
      <c r="H42" s="82" t="n"/>
      <c r="I42" s="82" t="n"/>
      <c r="J42" s="82" t="n"/>
      <c r="K42" s="81">
        <f>IF(B42="","",IF(AND(ISNUMBER(G42),G42&lt;3),"FEWER THAN THREE CHANCES",IF(COUNTIF(H42:J42,"yes")&gt;=3,"VERIFIED","")))</f>
        <v/>
      </c>
    </row>
    <row r="43" ht="31.5" customHeight="1" s="40">
      <c r="A43" s="77" t="n"/>
      <c r="B43" s="78" t="n"/>
      <c r="C43" s="77" t="n"/>
      <c r="D43" s="77" t="n"/>
      <c r="E43" s="80" t="n"/>
      <c r="F43" s="77" t="n"/>
      <c r="G43" s="90">
        <f>IF(OR(NOT(ISNUMBER(E43)),NOT(ISNUMBER(F43))),"",ROUND((E43-TODAY())/365*F43,1))</f>
        <v/>
      </c>
      <c r="H43" s="77" t="n"/>
      <c r="I43" s="77" t="n"/>
      <c r="J43" s="77" t="n"/>
      <c r="K43" s="81">
        <f>IF(B43="","",IF(AND(ISNUMBER(G43),G43&lt;3),"FEWER THAN THREE CHANCES",IF(COUNTIF(H43:J43,"yes")&gt;=3,"VERIFIED","")))</f>
        <v/>
      </c>
    </row>
    <row r="44" ht="31.5" customHeight="1" s="40">
      <c r="A44" s="82" t="n"/>
      <c r="B44" s="83" t="n"/>
      <c r="C44" s="82" t="n"/>
      <c r="D44" s="82" t="n"/>
      <c r="E44" s="85" t="n"/>
      <c r="F44" s="82" t="n"/>
      <c r="G44" s="90">
        <f>IF(OR(NOT(ISNUMBER(E44)),NOT(ISNUMBER(F44))),"",ROUND((E44-TODAY())/365*F44,1))</f>
        <v/>
      </c>
      <c r="H44" s="82" t="n"/>
      <c r="I44" s="82" t="n"/>
      <c r="J44" s="82" t="n"/>
      <c r="K44" s="81">
        <f>IF(B44="","",IF(AND(ISNUMBER(G44),G44&lt;3),"FEWER THAN THREE CHANCES",IF(COUNTIF(H44:J44,"yes")&gt;=3,"VERIFIED","")))</f>
        <v/>
      </c>
    </row>
    <row r="45" ht="31.5" customHeight="1" s="40">
      <c r="A45" s="77" t="n"/>
      <c r="B45" s="78" t="n"/>
      <c r="C45" s="77" t="n"/>
      <c r="D45" s="77" t="n"/>
      <c r="E45" s="80" t="n"/>
      <c r="F45" s="77" t="n"/>
      <c r="G45" s="90">
        <f>IF(OR(NOT(ISNUMBER(E45)),NOT(ISNUMBER(F45))),"",ROUND((E45-TODAY())/365*F45,1))</f>
        <v/>
      </c>
      <c r="H45" s="77" t="n"/>
      <c r="I45" s="77" t="n"/>
      <c r="J45" s="77" t="n"/>
      <c r="K45" s="81">
        <f>IF(B45="","",IF(AND(ISNUMBER(G45),G45&lt;3),"FEWER THAN THREE CHANCES",IF(COUNTIF(H45:J45,"yes")&gt;=3,"VERIFIED","")))</f>
        <v/>
      </c>
    </row>
    <row r="46" ht="31.5" customHeight="1" s="40">
      <c r="A46" s="82" t="n"/>
      <c r="B46" s="83" t="n"/>
      <c r="C46" s="82" t="n"/>
      <c r="D46" s="82" t="n"/>
      <c r="E46" s="85" t="n"/>
      <c r="F46" s="82" t="n"/>
      <c r="G46" s="90">
        <f>IF(OR(NOT(ISNUMBER(E46)),NOT(ISNUMBER(F46))),"",ROUND((E46-TODAY())/365*F46,1))</f>
        <v/>
      </c>
      <c r="H46" s="82" t="n"/>
      <c r="I46" s="82" t="n"/>
      <c r="J46" s="82" t="n"/>
      <c r="K46" s="81">
        <f>IF(B46="","",IF(AND(ISNUMBER(G46),G46&lt;3),"FEWER THAN THREE CHANCES",IF(COUNTIF(H46:J46,"yes")&gt;=3,"VERIFIED","")))</f>
        <v/>
      </c>
    </row>
    <row r="47" ht="31.5" customHeight="1" s="40">
      <c r="A47" s="77" t="n"/>
      <c r="B47" s="78" t="n"/>
      <c r="C47" s="77" t="n"/>
      <c r="D47" s="77" t="n"/>
      <c r="E47" s="80" t="n"/>
      <c r="F47" s="77" t="n"/>
      <c r="G47" s="90">
        <f>IF(OR(NOT(ISNUMBER(E47)),NOT(ISNUMBER(F47))),"",ROUND((E47-TODAY())/365*F47,1))</f>
        <v/>
      </c>
      <c r="H47" s="77" t="n"/>
      <c r="I47" s="77" t="n"/>
      <c r="J47" s="77" t="n"/>
      <c r="K47" s="81">
        <f>IF(B47="","",IF(AND(ISNUMBER(G47),G47&lt;3),"FEWER THAN THREE CHANCES",IF(COUNTIF(H47:J47,"yes")&gt;=3,"VERIFIED","")))</f>
        <v/>
      </c>
    </row>
    <row r="48" ht="31.5" customHeight="1" s="40">
      <c r="A48" s="82" t="n"/>
      <c r="B48" s="83" t="n"/>
      <c r="C48" s="82" t="n"/>
      <c r="D48" s="82" t="n"/>
      <c r="E48" s="85" t="n"/>
      <c r="F48" s="82" t="n"/>
      <c r="G48" s="90">
        <f>IF(OR(NOT(ISNUMBER(E48)),NOT(ISNUMBER(F48))),"",ROUND((E48-TODAY())/365*F48,1))</f>
        <v/>
      </c>
      <c r="H48" s="82" t="n"/>
      <c r="I48" s="82" t="n"/>
      <c r="J48" s="82" t="n"/>
      <c r="K48" s="81">
        <f>IF(B48="","",IF(AND(ISNUMBER(G48),G48&lt;3),"FEWER THAN THREE CHANCES",IF(COUNTIF(H48:J48,"yes")&gt;=3,"VERIFIED","")))</f>
        <v/>
      </c>
    </row>
    <row r="49" ht="31.5" customHeight="1" s="40">
      <c r="A49" s="77" t="n"/>
      <c r="B49" s="78" t="n"/>
      <c r="C49" s="77" t="n"/>
      <c r="D49" s="77" t="n"/>
      <c r="E49" s="80" t="n"/>
      <c r="F49" s="77" t="n"/>
      <c r="G49" s="90">
        <f>IF(OR(NOT(ISNUMBER(E49)),NOT(ISNUMBER(F49))),"",ROUND((E49-TODAY())/365*F49,1))</f>
        <v/>
      </c>
      <c r="H49" s="77" t="n"/>
      <c r="I49" s="77" t="n"/>
      <c r="J49" s="77" t="n"/>
      <c r="K49" s="81">
        <f>IF(B49="","",IF(AND(ISNUMBER(G49),G49&lt;3),"FEWER THAN THREE CHANCES",IF(COUNTIF(H49:J49,"yes")&gt;=3,"VERIFIED","")))</f>
        <v/>
      </c>
    </row>
    <row r="50" ht="31.5" customHeight="1" s="40">
      <c r="A50" s="82" t="n"/>
      <c r="B50" s="83" t="n"/>
      <c r="C50" s="82" t="n"/>
      <c r="D50" s="82" t="n"/>
      <c r="E50" s="85" t="n"/>
      <c r="F50" s="82" t="n"/>
      <c r="G50" s="90">
        <f>IF(OR(NOT(ISNUMBER(E50)),NOT(ISNUMBER(F50))),"",ROUND((E50-TODAY())/365*F50,1))</f>
        <v/>
      </c>
      <c r="H50" s="82" t="n"/>
      <c r="I50" s="82" t="n"/>
      <c r="J50" s="82" t="n"/>
      <c r="K50" s="81">
        <f>IF(B50="","",IF(AND(ISNUMBER(G50),G50&lt;3),"FEWER THAN THREE CHANCES",IF(COUNTIF(H50:J50,"yes")&gt;=3,"VERIFIED","")))</f>
        <v/>
      </c>
    </row>
    <row r="51" ht="31.5" customHeight="1" s="40">
      <c r="A51" s="77" t="n"/>
      <c r="B51" s="78" t="n"/>
      <c r="C51" s="77" t="n"/>
      <c r="D51" s="77" t="n"/>
      <c r="E51" s="80" t="n"/>
      <c r="F51" s="77" t="n"/>
      <c r="G51" s="90">
        <f>IF(OR(NOT(ISNUMBER(E51)),NOT(ISNUMBER(F51))),"",ROUND((E51-TODAY())/365*F51,1))</f>
        <v/>
      </c>
      <c r="H51" s="77" t="n"/>
      <c r="I51" s="77" t="n"/>
      <c r="J51" s="77" t="n"/>
      <c r="K51" s="81">
        <f>IF(B51="","",IF(AND(ISNUMBER(G51),G51&lt;3),"FEWER THAN THREE CHANCES",IF(COUNTIF(H51:J51,"yes")&gt;=3,"VERIFIED","")))</f>
        <v/>
      </c>
    </row>
    <row r="52" ht="31.5" customHeight="1" s="40">
      <c r="A52" s="82" t="n"/>
      <c r="B52" s="83" t="n"/>
      <c r="C52" s="82" t="n"/>
      <c r="D52" s="82" t="n"/>
      <c r="E52" s="85" t="n"/>
      <c r="F52" s="82" t="n"/>
      <c r="G52" s="90">
        <f>IF(OR(NOT(ISNUMBER(E52)),NOT(ISNUMBER(F52))),"",ROUND((E52-TODAY())/365*F52,1))</f>
        <v/>
      </c>
      <c r="H52" s="82" t="n"/>
      <c r="I52" s="82" t="n"/>
      <c r="J52" s="82" t="n"/>
      <c r="K52" s="81">
        <f>IF(B52="","",IF(AND(ISNUMBER(G52),G52&lt;3),"FEWER THAN THREE CHANCES",IF(COUNTIF(H52:J52,"yes")&gt;=3,"VERIFIED","")))</f>
        <v/>
      </c>
    </row>
    <row r="53" ht="31.5" customHeight="1" s="40">
      <c r="A53" s="77" t="n"/>
      <c r="B53" s="78" t="n"/>
      <c r="C53" s="77" t="n"/>
      <c r="D53" s="77" t="n"/>
      <c r="E53" s="80" t="n"/>
      <c r="F53" s="77" t="n"/>
      <c r="G53" s="90">
        <f>IF(OR(NOT(ISNUMBER(E53)),NOT(ISNUMBER(F53))),"",ROUND((E53-TODAY())/365*F53,1))</f>
        <v/>
      </c>
      <c r="H53" s="77" t="n"/>
      <c r="I53" s="77" t="n"/>
      <c r="J53" s="77" t="n"/>
      <c r="K53" s="81">
        <f>IF(B53="","",IF(AND(ISNUMBER(G53),G53&lt;3),"FEWER THAN THREE CHANCES",IF(COUNTIF(H53:J53,"yes")&gt;=3,"VERIFIED","")))</f>
        <v/>
      </c>
    </row>
    <row r="54" ht="31.5" customHeight="1" s="40">
      <c r="A54" s="82" t="n"/>
      <c r="B54" s="83" t="n"/>
      <c r="C54" s="82" t="n"/>
      <c r="D54" s="82" t="n"/>
      <c r="E54" s="85" t="n"/>
      <c r="F54" s="82" t="n"/>
      <c r="G54" s="90">
        <f>IF(OR(NOT(ISNUMBER(E54)),NOT(ISNUMBER(F54))),"",ROUND((E54-TODAY())/365*F54,1))</f>
        <v/>
      </c>
      <c r="H54" s="82" t="n"/>
      <c r="I54" s="82" t="n"/>
      <c r="J54" s="82" t="n"/>
      <c r="K54" s="81">
        <f>IF(B54="","",IF(AND(ISNUMBER(G54),G54&lt;3),"FEWER THAN THREE CHANCES",IF(COUNTIF(H54:J54,"yes")&gt;=3,"VERIFIED","")))</f>
        <v/>
      </c>
    </row>
    <row r="55" ht="31.5" customHeight="1" s="40">
      <c r="A55" s="77" t="n"/>
      <c r="B55" s="78" t="n"/>
      <c r="C55" s="77" t="n"/>
      <c r="D55" s="77" t="n"/>
      <c r="E55" s="80" t="n"/>
      <c r="F55" s="77" t="n"/>
      <c r="G55" s="90">
        <f>IF(OR(NOT(ISNUMBER(E55)),NOT(ISNUMBER(F55))),"",ROUND((E55-TODAY())/365*F55,1))</f>
        <v/>
      </c>
      <c r="H55" s="77" t="n"/>
      <c r="I55" s="77" t="n"/>
      <c r="J55" s="77" t="n"/>
      <c r="K55" s="81">
        <f>IF(B55="","",IF(AND(ISNUMBER(G55),G55&lt;3),"FEWER THAN THREE CHANCES",IF(COUNTIF(H55:J55,"yes")&gt;=3,"VERIFIED","")))</f>
        <v/>
      </c>
    </row>
    <row r="56" ht="31.5" customHeight="1" s="40">
      <c r="A56" s="82" t="n"/>
      <c r="B56" s="83" t="n"/>
      <c r="C56" s="82" t="n"/>
      <c r="D56" s="82" t="n"/>
      <c r="E56" s="85" t="n"/>
      <c r="F56" s="82" t="n"/>
      <c r="G56" s="90">
        <f>IF(OR(NOT(ISNUMBER(E56)),NOT(ISNUMBER(F56))),"",ROUND((E56-TODAY())/365*F56,1))</f>
        <v/>
      </c>
      <c r="H56" s="82" t="n"/>
      <c r="I56" s="82" t="n"/>
      <c r="J56" s="82" t="n"/>
      <c r="K56" s="81">
        <f>IF(B56="","",IF(AND(ISNUMBER(G56),G56&lt;3),"FEWER THAN THREE CHANCES",IF(COUNTIF(H56:J56,"yes")&gt;=3,"VERIFIED","")))</f>
        <v/>
      </c>
    </row>
    <row r="57" ht="31.5" customHeight="1" s="40">
      <c r="A57" s="77" t="n"/>
      <c r="B57" s="78" t="n"/>
      <c r="C57" s="77" t="n"/>
      <c r="D57" s="77" t="n"/>
      <c r="E57" s="80" t="n"/>
      <c r="F57" s="77" t="n"/>
      <c r="G57" s="90">
        <f>IF(OR(NOT(ISNUMBER(E57)),NOT(ISNUMBER(F57))),"",ROUND((E57-TODAY())/365*F57,1))</f>
        <v/>
      </c>
      <c r="H57" s="77" t="n"/>
      <c r="I57" s="77" t="n"/>
      <c r="J57" s="77" t="n"/>
      <c r="K57" s="81">
        <f>IF(B57="","",IF(AND(ISNUMBER(G57),G57&lt;3),"FEWER THAN THREE CHANCES",IF(COUNTIF(H57:J57,"yes")&gt;=3,"VERIFIED","")))</f>
        <v/>
      </c>
    </row>
    <row r="58" ht="31.5" customHeight="1" s="40">
      <c r="A58" s="82" t="n"/>
      <c r="B58" s="83" t="n"/>
      <c r="C58" s="82" t="n"/>
      <c r="D58" s="82" t="n"/>
      <c r="E58" s="85" t="n"/>
      <c r="F58" s="82" t="n"/>
      <c r="G58" s="90">
        <f>IF(OR(NOT(ISNUMBER(E58)),NOT(ISNUMBER(F58))),"",ROUND((E58-TODAY())/365*F58,1))</f>
        <v/>
      </c>
      <c r="H58" s="82" t="n"/>
      <c r="I58" s="82" t="n"/>
      <c r="J58" s="82" t="n"/>
      <c r="K58" s="81">
        <f>IF(B58="","",IF(AND(ISNUMBER(G58),G58&lt;3),"FEWER THAN THREE CHANCES",IF(COUNTIF(H58:J58,"yes")&gt;=3,"VERIFIED","")))</f>
        <v/>
      </c>
    </row>
    <row r="59" ht="31.5" customHeight="1" s="40">
      <c r="A59" s="77" t="n"/>
      <c r="B59" s="78" t="n"/>
      <c r="C59" s="77" t="n"/>
      <c r="D59" s="77" t="n"/>
      <c r="E59" s="80" t="n"/>
      <c r="F59" s="77" t="n"/>
      <c r="G59" s="90">
        <f>IF(OR(NOT(ISNUMBER(E59)),NOT(ISNUMBER(F59))),"",ROUND((E59-TODAY())/365*F59,1))</f>
        <v/>
      </c>
      <c r="H59" s="77" t="n"/>
      <c r="I59" s="77" t="n"/>
      <c r="J59" s="77" t="n"/>
      <c r="K59" s="81">
        <f>IF(B59="","",IF(AND(ISNUMBER(G59),G59&lt;3),"FEWER THAN THREE CHANCES",IF(COUNTIF(H59:J59,"yes")&gt;=3,"VERIFIED","")))</f>
        <v/>
      </c>
    </row>
    <row r="60" ht="31.5" customHeight="1" s="40">
      <c r="A60" s="82" t="n"/>
      <c r="B60" s="83" t="n"/>
      <c r="C60" s="82" t="n"/>
      <c r="D60" s="82" t="n"/>
      <c r="E60" s="85" t="n"/>
      <c r="F60" s="82" t="n"/>
      <c r="G60" s="90">
        <f>IF(OR(NOT(ISNUMBER(E60)),NOT(ISNUMBER(F60))),"",ROUND((E60-TODAY())/365*F60,1))</f>
        <v/>
      </c>
      <c r="H60" s="82" t="n"/>
      <c r="I60" s="82" t="n"/>
      <c r="J60" s="82" t="n"/>
      <c r="K60" s="81">
        <f>IF(B60="","",IF(AND(ISNUMBER(G60),G60&lt;3),"FEWER THAN THREE CHANCES",IF(COUNTIF(H60:J60,"yes")&gt;=3,"VERIFIED","")))</f>
        <v/>
      </c>
    </row>
    <row r="61" ht="31.5" customHeight="1" s="40">
      <c r="A61" s="77" t="n"/>
      <c r="B61" s="78" t="n"/>
      <c r="C61" s="77" t="n"/>
      <c r="D61" s="77" t="n"/>
      <c r="E61" s="80" t="n"/>
      <c r="F61" s="77" t="n"/>
      <c r="G61" s="90">
        <f>IF(OR(NOT(ISNUMBER(E61)),NOT(ISNUMBER(F61))),"",ROUND((E61-TODAY())/365*F61,1))</f>
        <v/>
      </c>
      <c r="H61" s="77" t="n"/>
      <c r="I61" s="77" t="n"/>
      <c r="J61" s="77" t="n"/>
      <c r="K61" s="81">
        <f>IF(B61="","",IF(AND(ISNUMBER(G61),G61&lt;3),"FEWER THAN THREE CHANCES",IF(COUNTIF(H61:J61,"yes")&gt;=3,"VERIFIED","")))</f>
        <v/>
      </c>
    </row>
    <row r="62" ht="31.5" customHeight="1" s="40">
      <c r="A62" s="82" t="n"/>
      <c r="B62" s="83" t="n"/>
      <c r="C62" s="82" t="n"/>
      <c r="D62" s="82" t="n"/>
      <c r="E62" s="85" t="n"/>
      <c r="F62" s="82" t="n"/>
      <c r="G62" s="90">
        <f>IF(OR(NOT(ISNUMBER(E62)),NOT(ISNUMBER(F62))),"",ROUND((E62-TODAY())/365*F62,1))</f>
        <v/>
      </c>
      <c r="H62" s="82" t="n"/>
      <c r="I62" s="82" t="n"/>
      <c r="J62" s="82" t="n"/>
      <c r="K62" s="81">
        <f>IF(B62="","",IF(AND(ISNUMBER(G62),G62&lt;3),"FEWER THAN THREE CHANCES",IF(COUNTIF(H62:J62,"yes")&gt;=3,"VERIFIED","")))</f>
        <v/>
      </c>
    </row>
    <row r="63" ht="31.5" customHeight="1" s="40">
      <c r="A63" s="77" t="n"/>
      <c r="B63" s="78" t="n"/>
      <c r="C63" s="77" t="n"/>
      <c r="D63" s="77" t="n"/>
      <c r="E63" s="80" t="n"/>
      <c r="F63" s="77" t="n"/>
      <c r="G63" s="90">
        <f>IF(OR(NOT(ISNUMBER(E63)),NOT(ISNUMBER(F63))),"",ROUND((E63-TODAY())/365*F63,1))</f>
        <v/>
      </c>
      <c r="H63" s="77" t="n"/>
      <c r="I63" s="77" t="n"/>
      <c r="J63" s="77" t="n"/>
      <c r="K63" s="81">
        <f>IF(B63="","",IF(AND(ISNUMBER(G63),G63&lt;3),"FEWER THAN THREE CHANCES",IF(COUNTIF(H63:J63,"yes")&gt;=3,"VERIFIED","")))</f>
        <v/>
      </c>
    </row>
    <row r="64" ht="31.5" customHeight="1" s="40">
      <c r="A64" s="82" t="n"/>
      <c r="B64" s="83" t="n"/>
      <c r="C64" s="82" t="n"/>
      <c r="D64" s="82" t="n"/>
      <c r="E64" s="85" t="n"/>
      <c r="F64" s="82" t="n"/>
      <c r="G64" s="90">
        <f>IF(OR(NOT(ISNUMBER(E64)),NOT(ISNUMBER(F64))),"",ROUND((E64-TODAY())/365*F64,1))</f>
        <v/>
      </c>
      <c r="H64" s="82" t="n"/>
      <c r="I64" s="82" t="n"/>
      <c r="J64" s="82" t="n"/>
      <c r="K64" s="81">
        <f>IF(B64="","",IF(AND(ISNUMBER(G64),G64&lt;3),"FEWER THAN THREE CHANCES",IF(COUNTIF(H64:J64,"yes")&gt;=3,"VERIFIED","")))</f>
        <v/>
      </c>
    </row>
    <row r="65" ht="15.75" customHeight="1" s="40">
      <c r="A65" s="86" t="inlineStr">
        <is>
          <t>END OF FORM—rows below this line are not included in any calculation</t>
        </is>
      </c>
    </row>
    <row r="66"/>
    <row r="67" ht="15" customHeight="1" s="40">
      <c r="A67" s="87" t="inlineStr">
        <is>
          <t>If the difficult event happens twice a year and the person leaves in fourteen months, you have two chances. That is arithmetic, not a preference, and it belongs in front of whoever owns the production plan on the day notice is given—not in a quality file in the last month.</t>
        </is>
      </c>
    </row>
    <row r="68" ht="15" customHeight="1" s="40"/>
  </sheetData>
  <sheetProtection selectLockedCells="0" selectUnlockedCells="0" sheet="1" objects="0" insertRows="1" insertHyperlinks="1" autoFilter="1" scenarios="0" formatColumns="1" deleteColumns="1" insertColumns="1" pivotTables="1" deleteRows="1" formatCells="1" formatRows="1" sort="1"/>
  <autoFilter ref="A4:K64"/>
  <mergeCells count="4">
    <mergeCell ref="A2:K2"/>
    <mergeCell ref="A67:K68"/>
    <mergeCell ref="A1:K1"/>
    <mergeCell ref="A65:K65"/>
  </mergeCells>
  <conditionalFormatting sqref="K5:K64">
    <cfRule type="expression" rank="0" priority="2" equalAverage="0" aboveAverage="0" dxfId="6" text="" percent="0" bottom="0">
      <formula>$K5="FEWER THAN THREE CHANCES"</formula>
    </cfRule>
    <cfRule type="expression" rank="0" priority="3" equalAverage="0" aboveAverage="0" dxfId="9" text="" percent="0" bottom="0">
      <formula>$K5="VERIFIED"</formula>
    </cfRule>
  </conditionalFormatting>
  <conditionalFormatting sqref="G5:G64">
    <cfRule type="cellIs" rank="0" priority="4" equalAverage="0" operator="lessThan" aboveAverage="0" dxfId="6" text="" percent="0" bottom="0">
      <formula>3</formula>
    </cfRule>
  </conditionalFormatting>
  <dataValidations count="1">
    <dataValidation sqref="H5:J64" showDropDown="0" showInputMessage="0"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0"/>
  </sheetPr>
  <dimension ref="A1:G4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70" min="1" max="1"/>
    <col width="40" customWidth="1" style="70" min="2" max="2"/>
    <col width="26" customWidth="1" style="70" min="3" max="3"/>
    <col width="34" customWidth="1" style="70" min="4" max="4"/>
    <col width="16" customWidth="1" style="70" min="5" max="5"/>
    <col width="14" customWidth="1" style="70" min="6" max="6"/>
    <col width="22" customWidth="1" style="70" min="7" max="7"/>
  </cols>
  <sheetData>
    <row r="1" ht="25.5" customHeight="1" s="40">
      <c r="A1" s="71" t="inlineStr">
        <is>
          <t>TRANSITION GAP ANALYSIS</t>
        </is>
      </c>
    </row>
    <row r="2" ht="15.75" customHeight="1" s="40">
      <c r="A2" s="72" t="inlineStr">
        <is>
          <t>Four verdicts and nothing else. If it will not print on two pages you are writing a document.</t>
        </is>
      </c>
    </row>
    <row r="3"/>
    <row r="4" ht="30" customHeight="1" s="40">
      <c r="A4" s="76" t="inlineStr">
        <is>
          <t>Ref</t>
        </is>
      </c>
      <c r="B4" s="76" t="inlineStr">
        <is>
          <t>Difference from what we do now</t>
        </is>
      </c>
      <c r="C4" s="76" t="inlineStr">
        <is>
          <t>Verdict</t>
        </is>
      </c>
      <c r="D4" s="76" t="inlineStr">
        <is>
          <t>Action</t>
        </is>
      </c>
      <c r="E4" s="76" t="inlineStr">
        <is>
          <t>Owner</t>
        </is>
      </c>
      <c r="F4" s="76" t="inlineStr">
        <is>
          <t>Date</t>
        </is>
      </c>
      <c r="G4" s="76" t="inlineStr">
        <is>
          <t>Flag</t>
        </is>
      </c>
    </row>
    <row r="5" ht="33.75" customHeight="1" s="40">
      <c r="A5" s="77" t="n"/>
      <c r="B5" s="78" t="n"/>
      <c r="C5" s="78" t="n"/>
      <c r="D5" s="78" t="n"/>
      <c r="E5" s="78" t="n"/>
      <c r="F5" s="80" t="n"/>
      <c r="G5" s="81">
        <f>IF(B5="","",IF(C5="","NO VERDICT",IF(AND(LEFT(C5,8)="not done",OR(E5="",F5="")),"NO OWNER OR DATE","")))</f>
        <v/>
      </c>
    </row>
    <row r="6" ht="33.75" customHeight="1" s="40">
      <c r="A6" s="82" t="n"/>
      <c r="B6" s="83" t="n"/>
      <c r="C6" s="83" t="n"/>
      <c r="D6" s="83" t="n"/>
      <c r="E6" s="83" t="n"/>
      <c r="F6" s="85" t="n"/>
      <c r="G6" s="81">
        <f>IF(B6="","",IF(C6="","NO VERDICT",IF(AND(LEFT(C6,8)="not done",OR(E6="",F6="")),"NO OWNER OR DATE","")))</f>
        <v/>
      </c>
    </row>
    <row r="7" ht="33.75" customHeight="1" s="40">
      <c r="A7" s="77" t="n"/>
      <c r="B7" s="78" t="n"/>
      <c r="C7" s="78" t="n"/>
      <c r="D7" s="78" t="n"/>
      <c r="E7" s="78" t="n"/>
      <c r="F7" s="80" t="n"/>
      <c r="G7" s="81">
        <f>IF(B7="","",IF(C7="","NO VERDICT",IF(AND(LEFT(C7,8)="not done",OR(E7="",F7="")),"NO OWNER OR DATE","")))</f>
        <v/>
      </c>
    </row>
    <row r="8" ht="33.75" customHeight="1" s="40">
      <c r="A8" s="82" t="n"/>
      <c r="B8" s="83" t="n"/>
      <c r="C8" s="83" t="n"/>
      <c r="D8" s="83" t="n"/>
      <c r="E8" s="83" t="n"/>
      <c r="F8" s="85" t="n"/>
      <c r="G8" s="81">
        <f>IF(B8="","",IF(C8="","NO VERDICT",IF(AND(LEFT(C8,8)="not done",OR(E8="",F8="")),"NO OWNER OR DATE","")))</f>
        <v/>
      </c>
    </row>
    <row r="9" ht="33.75" customHeight="1" s="40">
      <c r="A9" s="77" t="n"/>
      <c r="B9" s="78" t="n"/>
      <c r="C9" s="78" t="n"/>
      <c r="D9" s="78" t="n"/>
      <c r="E9" s="78" t="n"/>
      <c r="F9" s="80" t="n"/>
      <c r="G9" s="81">
        <f>IF(B9="","",IF(C9="","NO VERDICT",IF(AND(LEFT(C9,8)="not done",OR(E9="",F9="")),"NO OWNER OR DATE","")))</f>
        <v/>
      </c>
    </row>
    <row r="10" ht="33.75" customHeight="1" s="40">
      <c r="A10" s="82" t="n"/>
      <c r="B10" s="83" t="n"/>
      <c r="C10" s="83" t="n"/>
      <c r="D10" s="83" t="n"/>
      <c r="E10" s="83" t="n"/>
      <c r="F10" s="85" t="n"/>
      <c r="G10" s="81">
        <f>IF(B10="","",IF(C10="","NO VERDICT",IF(AND(LEFT(C10,8)="not done",OR(E10="",F10="")),"NO OWNER OR DATE","")))</f>
        <v/>
      </c>
    </row>
    <row r="11" ht="33.75" customHeight="1" s="40">
      <c r="A11" s="77" t="n"/>
      <c r="B11" s="78" t="n"/>
      <c r="C11" s="78" t="n"/>
      <c r="D11" s="78" t="n"/>
      <c r="E11" s="78" t="n"/>
      <c r="F11" s="80" t="n"/>
      <c r="G11" s="81">
        <f>IF(B11="","",IF(C11="","NO VERDICT",IF(AND(LEFT(C11,8)="not done",OR(E11="",F11="")),"NO OWNER OR DATE","")))</f>
        <v/>
      </c>
    </row>
    <row r="12" ht="33.75" customHeight="1" s="40">
      <c r="A12" s="82" t="n"/>
      <c r="B12" s="83" t="n"/>
      <c r="C12" s="83" t="n"/>
      <c r="D12" s="83" t="n"/>
      <c r="E12" s="83" t="n"/>
      <c r="F12" s="85" t="n"/>
      <c r="G12" s="81">
        <f>IF(B12="","",IF(C12="","NO VERDICT",IF(AND(LEFT(C12,8)="not done",OR(E12="",F12="")),"NO OWNER OR DATE","")))</f>
        <v/>
      </c>
    </row>
    <row r="13" ht="33.75" customHeight="1" s="40">
      <c r="A13" s="77" t="n"/>
      <c r="B13" s="78" t="n"/>
      <c r="C13" s="78" t="n"/>
      <c r="D13" s="78" t="n"/>
      <c r="E13" s="78" t="n"/>
      <c r="F13" s="80" t="n"/>
      <c r="G13" s="81">
        <f>IF(B13="","",IF(C13="","NO VERDICT",IF(AND(LEFT(C13,8)="not done",OR(E13="",F13="")),"NO OWNER OR DATE","")))</f>
        <v/>
      </c>
    </row>
    <row r="14" ht="33.75" customHeight="1" s="40">
      <c r="A14" s="82" t="n"/>
      <c r="B14" s="83" t="n"/>
      <c r="C14" s="83" t="n"/>
      <c r="D14" s="83" t="n"/>
      <c r="E14" s="83" t="n"/>
      <c r="F14" s="85" t="n"/>
      <c r="G14" s="81">
        <f>IF(B14="","",IF(C14="","NO VERDICT",IF(AND(LEFT(C14,8)="not done",OR(E14="",F14="")),"NO OWNER OR DATE","")))</f>
        <v/>
      </c>
    </row>
    <row r="15" ht="33.75" customHeight="1" s="40">
      <c r="A15" s="77" t="n"/>
      <c r="B15" s="78" t="n"/>
      <c r="C15" s="78" t="n"/>
      <c r="D15" s="78" t="n"/>
      <c r="E15" s="78" t="n"/>
      <c r="F15" s="80" t="n"/>
      <c r="G15" s="81">
        <f>IF(B15="","",IF(C15="","NO VERDICT",IF(AND(LEFT(C15,8)="not done",OR(E15="",F15="")),"NO OWNER OR DATE","")))</f>
        <v/>
      </c>
    </row>
    <row r="16" ht="33.75" customHeight="1" s="40">
      <c r="A16" s="82" t="n"/>
      <c r="B16" s="83" t="n"/>
      <c r="C16" s="83" t="n"/>
      <c r="D16" s="83" t="n"/>
      <c r="E16" s="83" t="n"/>
      <c r="F16" s="85" t="n"/>
      <c r="G16" s="81">
        <f>IF(B16="","",IF(C16="","NO VERDICT",IF(AND(LEFT(C16,8)="not done",OR(E16="",F16="")),"NO OWNER OR DATE","")))</f>
        <v/>
      </c>
    </row>
    <row r="17" ht="33.75" customHeight="1" s="40">
      <c r="A17" s="77" t="n"/>
      <c r="B17" s="78" t="n"/>
      <c r="C17" s="78" t="n"/>
      <c r="D17" s="78" t="n"/>
      <c r="E17" s="78" t="n"/>
      <c r="F17" s="80" t="n"/>
      <c r="G17" s="81">
        <f>IF(B17="","",IF(C17="","NO VERDICT",IF(AND(LEFT(C17,8)="not done",OR(E17="",F17="")),"NO OWNER OR DATE","")))</f>
        <v/>
      </c>
    </row>
    <row r="18" ht="33.75" customHeight="1" s="40">
      <c r="A18" s="82" t="n"/>
      <c r="B18" s="83" t="n"/>
      <c r="C18" s="83" t="n"/>
      <c r="D18" s="83" t="n"/>
      <c r="E18" s="83" t="n"/>
      <c r="F18" s="85" t="n"/>
      <c r="G18" s="81">
        <f>IF(B18="","",IF(C18="","NO VERDICT",IF(AND(LEFT(C18,8)="not done",OR(E18="",F18="")),"NO OWNER OR DATE","")))</f>
        <v/>
      </c>
    </row>
    <row r="19" ht="33.75" customHeight="1" s="40">
      <c r="A19" s="77" t="n"/>
      <c r="B19" s="78" t="n"/>
      <c r="C19" s="78" t="n"/>
      <c r="D19" s="78" t="n"/>
      <c r="E19" s="78" t="n"/>
      <c r="F19" s="80" t="n"/>
      <c r="G19" s="81">
        <f>IF(B19="","",IF(C19="","NO VERDICT",IF(AND(LEFT(C19,8)="not done",OR(E19="",F19="")),"NO OWNER OR DATE","")))</f>
        <v/>
      </c>
    </row>
    <row r="20" ht="33.75" customHeight="1" s="40">
      <c r="A20" s="82" t="n"/>
      <c r="B20" s="83" t="n"/>
      <c r="C20" s="83" t="n"/>
      <c r="D20" s="83" t="n"/>
      <c r="E20" s="83" t="n"/>
      <c r="F20" s="85" t="n"/>
      <c r="G20" s="81">
        <f>IF(B20="","",IF(C20="","NO VERDICT",IF(AND(LEFT(C20,8)="not done",OR(E20="",F20="")),"NO OWNER OR DATE","")))</f>
        <v/>
      </c>
    </row>
    <row r="21" ht="33.75" customHeight="1" s="40">
      <c r="A21" s="77" t="n"/>
      <c r="B21" s="78" t="n"/>
      <c r="C21" s="78" t="n"/>
      <c r="D21" s="78" t="n"/>
      <c r="E21" s="78" t="n"/>
      <c r="F21" s="80" t="n"/>
      <c r="G21" s="81">
        <f>IF(B21="","",IF(C21="","NO VERDICT",IF(AND(LEFT(C21,8)="not done",OR(E21="",F21="")),"NO OWNER OR DATE","")))</f>
        <v/>
      </c>
    </row>
    <row r="22" ht="33.75" customHeight="1" s="40">
      <c r="A22" s="82" t="n"/>
      <c r="B22" s="83" t="n"/>
      <c r="C22" s="83" t="n"/>
      <c r="D22" s="83" t="n"/>
      <c r="E22" s="83" t="n"/>
      <c r="F22" s="85" t="n"/>
      <c r="G22" s="81">
        <f>IF(B22="","",IF(C22="","NO VERDICT",IF(AND(LEFT(C22,8)="not done",OR(E22="",F22="")),"NO OWNER OR DATE","")))</f>
        <v/>
      </c>
    </row>
    <row r="23" ht="33.75" customHeight="1" s="40">
      <c r="A23" s="77" t="n"/>
      <c r="B23" s="78" t="n"/>
      <c r="C23" s="78" t="n"/>
      <c r="D23" s="78" t="n"/>
      <c r="E23" s="78" t="n"/>
      <c r="F23" s="80" t="n"/>
      <c r="G23" s="81">
        <f>IF(B23="","",IF(C23="","NO VERDICT",IF(AND(LEFT(C23,8)="not done",OR(E23="",F23="")),"NO OWNER OR DATE","")))</f>
        <v/>
      </c>
    </row>
    <row r="24" ht="33.75" customHeight="1" s="40">
      <c r="A24" s="82" t="n"/>
      <c r="B24" s="83" t="n"/>
      <c r="C24" s="83" t="n"/>
      <c r="D24" s="83" t="n"/>
      <c r="E24" s="83" t="n"/>
      <c r="F24" s="85" t="n"/>
      <c r="G24" s="81">
        <f>IF(B24="","",IF(C24="","NO VERDICT",IF(AND(LEFT(C24,8)="not done",OR(E24="",F24="")),"NO OWNER OR DATE","")))</f>
        <v/>
      </c>
    </row>
    <row r="25" ht="33.75" customHeight="1" s="40">
      <c r="A25" s="77" t="n"/>
      <c r="B25" s="78" t="n"/>
      <c r="C25" s="78" t="n"/>
      <c r="D25" s="78" t="n"/>
      <c r="E25" s="78" t="n"/>
      <c r="F25" s="80" t="n"/>
      <c r="G25" s="81">
        <f>IF(B25="","",IF(C25="","NO VERDICT",IF(AND(LEFT(C25,8)="not done",OR(E25="",F25="")),"NO OWNER OR DATE","")))</f>
        <v/>
      </c>
    </row>
    <row r="26" ht="33.75" customHeight="1" s="40">
      <c r="A26" s="82" t="n"/>
      <c r="B26" s="83" t="n"/>
      <c r="C26" s="83" t="n"/>
      <c r="D26" s="83" t="n"/>
      <c r="E26" s="83" t="n"/>
      <c r="F26" s="85" t="n"/>
      <c r="G26" s="81">
        <f>IF(B26="","",IF(C26="","NO VERDICT",IF(AND(LEFT(C26,8)="not done",OR(E26="",F26="")),"NO OWNER OR DATE","")))</f>
        <v/>
      </c>
    </row>
    <row r="27" ht="33.75" customHeight="1" s="40">
      <c r="A27" s="77" t="n"/>
      <c r="B27" s="78" t="n"/>
      <c r="C27" s="78" t="n"/>
      <c r="D27" s="78" t="n"/>
      <c r="E27" s="78" t="n"/>
      <c r="F27" s="80" t="n"/>
      <c r="G27" s="81">
        <f>IF(B27="","",IF(C27="","NO VERDICT",IF(AND(LEFT(C27,8)="not done",OR(E27="",F27="")),"NO OWNER OR DATE","")))</f>
        <v/>
      </c>
    </row>
    <row r="28" ht="33.75" customHeight="1" s="40">
      <c r="A28" s="82" t="n"/>
      <c r="B28" s="83" t="n"/>
      <c r="C28" s="83" t="n"/>
      <c r="D28" s="83" t="n"/>
      <c r="E28" s="83" t="n"/>
      <c r="F28" s="85" t="n"/>
      <c r="G28" s="81">
        <f>IF(B28="","",IF(C28="","NO VERDICT",IF(AND(LEFT(C28,8)="not done",OR(E28="",F28="")),"NO OWNER OR DATE","")))</f>
        <v/>
      </c>
    </row>
    <row r="29" ht="33.75" customHeight="1" s="40">
      <c r="A29" s="77" t="n"/>
      <c r="B29" s="78" t="n"/>
      <c r="C29" s="78" t="n"/>
      <c r="D29" s="78" t="n"/>
      <c r="E29" s="78" t="n"/>
      <c r="F29" s="80" t="n"/>
      <c r="G29" s="81">
        <f>IF(B29="","",IF(C29="","NO VERDICT",IF(AND(LEFT(C29,8)="not done",OR(E29="",F29="")),"NO OWNER OR DATE","")))</f>
        <v/>
      </c>
    </row>
    <row r="30" ht="33.75" customHeight="1" s="40">
      <c r="A30" s="82" t="n"/>
      <c r="B30" s="83" t="n"/>
      <c r="C30" s="83" t="n"/>
      <c r="D30" s="83" t="n"/>
      <c r="E30" s="83" t="n"/>
      <c r="F30" s="85" t="n"/>
      <c r="G30" s="81">
        <f>IF(B30="","",IF(C30="","NO VERDICT",IF(AND(LEFT(C30,8)="not done",OR(E30="",F30="")),"NO OWNER OR DATE","")))</f>
        <v/>
      </c>
    </row>
    <row r="31" ht="33.75" customHeight="1" s="40">
      <c r="A31" s="77" t="n"/>
      <c r="B31" s="78" t="n"/>
      <c r="C31" s="78" t="n"/>
      <c r="D31" s="78" t="n"/>
      <c r="E31" s="78" t="n"/>
      <c r="F31" s="80" t="n"/>
      <c r="G31" s="81">
        <f>IF(B31="","",IF(C31="","NO VERDICT",IF(AND(LEFT(C31,8)="not done",OR(E31="",F31="")),"NO OWNER OR DATE","")))</f>
        <v/>
      </c>
    </row>
    <row r="32" ht="33.75" customHeight="1" s="40">
      <c r="A32" s="82" t="n"/>
      <c r="B32" s="83" t="n"/>
      <c r="C32" s="83" t="n"/>
      <c r="D32" s="83" t="n"/>
      <c r="E32" s="83" t="n"/>
      <c r="F32" s="85" t="n"/>
      <c r="G32" s="81">
        <f>IF(B32="","",IF(C32="","NO VERDICT",IF(AND(LEFT(C32,8)="not done",OR(E32="",F32="")),"NO OWNER OR DATE","")))</f>
        <v/>
      </c>
    </row>
    <row r="33" ht="33.75" customHeight="1" s="40">
      <c r="A33" s="77" t="n"/>
      <c r="B33" s="78" t="n"/>
      <c r="C33" s="78" t="n"/>
      <c r="D33" s="78" t="n"/>
      <c r="E33" s="78" t="n"/>
      <c r="F33" s="80" t="n"/>
      <c r="G33" s="81">
        <f>IF(B33="","",IF(C33="","NO VERDICT",IF(AND(LEFT(C33,8)="not done",OR(E33="",F33="")),"NO OWNER OR DATE","")))</f>
        <v/>
      </c>
    </row>
    <row r="34" ht="33.75" customHeight="1" s="40">
      <c r="A34" s="82" t="n"/>
      <c r="B34" s="83" t="n"/>
      <c r="C34" s="83" t="n"/>
      <c r="D34" s="83" t="n"/>
      <c r="E34" s="83" t="n"/>
      <c r="F34" s="85" t="n"/>
      <c r="G34" s="81">
        <f>IF(B34="","",IF(C34="","NO VERDICT",IF(AND(LEFT(C34,8)="not done",OR(E34="",F34="")),"NO OWNER OR DATE","")))</f>
        <v/>
      </c>
    </row>
    <row r="35" ht="33.75" customHeight="1" s="40">
      <c r="A35" s="77" t="n"/>
      <c r="B35" s="78" t="n"/>
      <c r="C35" s="78" t="n"/>
      <c r="D35" s="78" t="n"/>
      <c r="E35" s="78" t="n"/>
      <c r="F35" s="80" t="n"/>
      <c r="G35" s="81">
        <f>IF(B35="","",IF(C35="","NO VERDICT",IF(AND(LEFT(C35,8)="not done",OR(E35="",F35="")),"NO OWNER OR DATE","")))</f>
        <v/>
      </c>
    </row>
    <row r="36" ht="33.75" customHeight="1" s="40">
      <c r="A36" s="82" t="n"/>
      <c r="B36" s="83" t="n"/>
      <c r="C36" s="83" t="n"/>
      <c r="D36" s="83" t="n"/>
      <c r="E36" s="83" t="n"/>
      <c r="F36" s="85" t="n"/>
      <c r="G36" s="81">
        <f>IF(B36="","",IF(C36="","NO VERDICT",IF(AND(LEFT(C36,8)="not done",OR(E36="",F36="")),"NO OWNER OR DATE","")))</f>
        <v/>
      </c>
    </row>
    <row r="37" ht="33.75" customHeight="1" s="40">
      <c r="A37" s="77" t="n"/>
      <c r="B37" s="78" t="n"/>
      <c r="C37" s="78" t="n"/>
      <c r="D37" s="78" t="n"/>
      <c r="E37" s="78" t="n"/>
      <c r="F37" s="80" t="n"/>
      <c r="G37" s="81">
        <f>IF(B37="","",IF(C37="","NO VERDICT",IF(AND(LEFT(C37,8)="not done",OR(E37="",F37="")),"NO OWNER OR DATE","")))</f>
        <v/>
      </c>
    </row>
    <row r="38" ht="33.75" customHeight="1" s="40">
      <c r="A38" s="82" t="n"/>
      <c r="B38" s="83" t="n"/>
      <c r="C38" s="83" t="n"/>
      <c r="D38" s="83" t="n"/>
      <c r="E38" s="83" t="n"/>
      <c r="F38" s="85" t="n"/>
      <c r="G38" s="81">
        <f>IF(B38="","",IF(C38="","NO VERDICT",IF(AND(LEFT(C38,8)="not done",OR(E38="",F38="")),"NO OWNER OR DATE","")))</f>
        <v/>
      </c>
    </row>
    <row r="39" ht="33.75" customHeight="1" s="40">
      <c r="A39" s="77" t="n"/>
      <c r="B39" s="78" t="n"/>
      <c r="C39" s="78" t="n"/>
      <c r="D39" s="78" t="n"/>
      <c r="E39" s="78" t="n"/>
      <c r="F39" s="80" t="n"/>
      <c r="G39" s="81">
        <f>IF(B39="","",IF(C39="","NO VERDICT",IF(AND(LEFT(C39,8)="not done",OR(E39="",F39="")),"NO OWNER OR DATE","")))</f>
        <v/>
      </c>
    </row>
    <row r="40" ht="33.75" customHeight="1" s="40">
      <c r="A40" s="82" t="n"/>
      <c r="B40" s="83" t="n"/>
      <c r="C40" s="83" t="n"/>
      <c r="D40" s="83" t="n"/>
      <c r="E40" s="83" t="n"/>
      <c r="F40" s="85" t="n"/>
      <c r="G40" s="81">
        <f>IF(B40="","",IF(C40="","NO VERDICT",IF(AND(LEFT(C40,8)="not done",OR(E40="",F40="")),"NO OWNER OR DATE","")))</f>
        <v/>
      </c>
    </row>
    <row r="41" ht="33.75" customHeight="1" s="40">
      <c r="A41" s="77" t="n"/>
      <c r="B41" s="78" t="n"/>
      <c r="C41" s="78" t="n"/>
      <c r="D41" s="78" t="n"/>
      <c r="E41" s="78" t="n"/>
      <c r="F41" s="80" t="n"/>
      <c r="G41" s="81">
        <f>IF(B41="","",IF(C41="","NO VERDICT",IF(AND(LEFT(C41,8)="not done",OR(E41="",F41="")),"NO OWNER OR DATE","")))</f>
        <v/>
      </c>
    </row>
    <row r="42" ht="33.75" customHeight="1" s="40">
      <c r="A42" s="82" t="n"/>
      <c r="B42" s="83" t="n"/>
      <c r="C42" s="83" t="n"/>
      <c r="D42" s="83" t="n"/>
      <c r="E42" s="83" t="n"/>
      <c r="F42" s="85" t="n"/>
      <c r="G42" s="81">
        <f>IF(B42="","",IF(C42="","NO VERDICT",IF(AND(LEFT(C42,8)="not done",OR(E42="",F42="")),"NO OWNER OR DATE","")))</f>
        <v/>
      </c>
    </row>
    <row r="43" ht="33.75" customHeight="1" s="40">
      <c r="A43" s="77" t="n"/>
      <c r="B43" s="78" t="n"/>
      <c r="C43" s="78" t="n"/>
      <c r="D43" s="78" t="n"/>
      <c r="E43" s="78" t="n"/>
      <c r="F43" s="80" t="n"/>
      <c r="G43" s="81">
        <f>IF(B43="","",IF(C43="","NO VERDICT",IF(AND(LEFT(C43,8)="not done",OR(E43="",F43="")),"NO OWNER OR DATE","")))</f>
        <v/>
      </c>
    </row>
    <row r="44" ht="33.75" customHeight="1" s="40">
      <c r="A44" s="82" t="n"/>
      <c r="B44" s="83" t="n"/>
      <c r="C44" s="83" t="n"/>
      <c r="D44" s="83" t="n"/>
      <c r="E44" s="83" t="n"/>
      <c r="F44" s="85" t="n"/>
      <c r="G44" s="81">
        <f>IF(B44="","",IF(C44="","NO VERDICT",IF(AND(LEFT(C44,8)="not done",OR(E44="",F44="")),"NO OWNER OR DATE","")))</f>
        <v/>
      </c>
    </row>
    <row r="45" ht="15.75" customHeight="1" s="40">
      <c r="A45" s="86" t="inlineStr">
        <is>
          <t>END OF FORM—rows below this line are not included in any calculation</t>
        </is>
      </c>
    </row>
  </sheetData>
  <sheetProtection selectLockedCells="0" selectUnlockedCells="0" sheet="1" objects="0" insertRows="1" insertHyperlinks="1" autoFilter="1" scenarios="0" formatColumns="1" deleteColumns="1" insertColumns="1" pivotTables="1" deleteRows="1" formatCells="1" formatRows="1" sort="1"/>
  <autoFilter ref="A4:G44"/>
  <mergeCells count="3">
    <mergeCell ref="A2:G2"/>
    <mergeCell ref="A1:G1"/>
    <mergeCell ref="A45:G45"/>
  </mergeCells>
  <conditionalFormatting sqref="G5:G44">
    <cfRule type="expression" rank="0" priority="2" equalAverage="0" aboveAverage="0" dxfId="6" text="" percent="0" bottom="0">
      <formula>$G5&lt;&gt;""</formula>
    </cfRule>
  </conditionalFormatting>
  <conditionalFormatting sqref="C5:C44">
    <cfRule type="expression" rank="0" priority="3" equalAverage="0" aboveAverage="0" dxfId="7" text="" percent="0" bottom="0">
      <formula>$C5="not done real work"</formula>
    </cfRule>
    <cfRule type="expression" rank="0" priority="4" equalAverage="0" aboveAverage="0" dxfId="8" text="" percent="0" bottom="0">
      <formula>$C5="already done"</formula>
    </cfRule>
  </conditionalFormatting>
  <dataValidations count="1">
    <dataValidation sqref="C5:C44" showDropDown="0" showInputMessage="0" showErrorMessage="1" allowBlank="1" type="list" errorStyle="stop" operator="between">
      <formula1>"already done,done not evidenced,not done low effort,not done real work"</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J6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70" min="1" max="1"/>
    <col width="11" customWidth="1" style="70" min="2" max="10"/>
  </cols>
  <sheetData>
    <row r="1" ht="25.5" customHeight="1" s="40">
      <c r="A1" s="71" t="inlineStr">
        <is>
          <t>SUPPLIER AND KNOWLEDGE DASHBOARD</t>
        </is>
      </c>
    </row>
    <row r="2" ht="15.75" customHeight="1" s="40">
      <c r="A2" s="72" t="inlineStr">
        <is>
          <t>Calculated live from the forms. Nothing on this sheet is typed.</t>
        </is>
      </c>
    </row>
    <row r="3"/>
    <row r="4" ht="18" customHeight="1" s="40">
      <c r="A4" s="91" t="inlineStr">
        <is>
          <t>SUPPLIERS</t>
        </is>
      </c>
      <c r="C4" s="92" t="inlineStr">
        <is>
          <t>CRITICAL, UNASSESSED</t>
        </is>
      </c>
      <c r="E4" s="92" t="inlineStr">
        <is>
          <t>EXPIRED CERTIFICATES</t>
        </is>
      </c>
      <c r="G4" s="91" t="inlineStr">
        <is>
          <t>KNOWLEDGE ITEMS</t>
        </is>
      </c>
      <c r="I4" s="92" t="inlineStr">
        <is>
          <t>TOO FEW CHANCES</t>
        </is>
      </c>
    </row>
    <row r="5" ht="21.75" customHeight="1" s="40">
      <c r="A5" s="93">
        <f>COUNTA('Form 17 Supplier Ranking'!B5:B64)</f>
        <v/>
      </c>
      <c r="C5" s="93">
        <f>COUNTIF('Form 17 Supplier Ranking'!H5:H64,"CRITICAL*")</f>
        <v/>
      </c>
      <c r="E5" s="93">
        <f>COUNTIF('Form 17 Supplier Ranking'!H5:H64,"CERTIFICATE*")</f>
        <v/>
      </c>
      <c r="G5" s="93">
        <f>COUNTA('Form 19 Knowledge Inventory'!C5:C204)</f>
        <v/>
      </c>
      <c r="I5" s="93">
        <f>COUNTIF('Form 20 Transfer Tracker'!K5:K64,"FEWER*")</f>
        <v/>
      </c>
    </row>
    <row r="6" ht="13.5" customHeight="1" s="40"/>
    <row r="7" ht="13.5" customHeight="1" s="40">
      <c r="A7" s="94" t="inlineStr">
        <is>
          <t>on the list</t>
        </is>
      </c>
      <c r="C7" s="94" t="inlineStr">
        <is>
          <t>should be zero</t>
        </is>
      </c>
      <c r="E7" s="94" t="inlineStr">
        <is>
          <t>should be zero</t>
        </is>
      </c>
      <c r="G7" s="94" t="inlineStr">
        <is>
          <t>recorded</t>
        </is>
      </c>
      <c r="I7" s="94" t="inlineStr">
        <is>
          <t>transfers at risk</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ht="15" customHeight="1" s="40">
      <c r="A42" s="95" t="inlineStr">
        <is>
          <t>Three numbers should read zero: critical suppliers never assessed, expired certificates, and transfers with fewer than three chances. The first two are free to fix and one of them cost Norwood twenty-five months of holding evidence that was not true. The knowledge chart is the fourth reading: if nothing sits in ‘will not transfer’, the inventory has not been done honestly.</t>
        </is>
      </c>
    </row>
    <row r="43" ht="15" customHeight="1" s="40"/>
    <row r="44" ht="15" customHeight="1" s="40"/>
    <row r="45"/>
    <row r="46" ht="15" customHeight="1" s="40">
      <c r="A46" s="96" t="inlineStr">
        <is>
          <t>CHART SOURCE DATA—calculated, do not overwrite</t>
        </is>
      </c>
    </row>
    <row r="47" ht="15" customHeight="1" s="40">
      <c r="A47" s="97" t="inlineStr">
        <is>
          <t>Knowledge category</t>
        </is>
      </c>
      <c r="B47" s="97" t="inlineStr">
        <is>
          <t>Items</t>
        </is>
      </c>
    </row>
    <row r="48" ht="15" customHeight="1" s="40">
      <c r="A48" s="98" t="inlineStr">
        <is>
          <t>will not transfer</t>
        </is>
      </c>
      <c r="B48" s="98">
        <f>COUNTIF('Form 19 Knowledge Inventory'!$D$5:$D$204,"will not transfer")</f>
        <v/>
      </c>
    </row>
    <row r="49" ht="15" customHeight="1" s="40">
      <c r="A49" s="98" t="inlineStr">
        <is>
          <t>apprenticeship</t>
        </is>
      </c>
      <c r="B49" s="98">
        <f>COUNTIF('Form 19 Knowledge Inventory'!$D$5:$D$204,"apprenticeship")</f>
        <v/>
      </c>
    </row>
    <row r="50" ht="15" customHeight="1" s="40">
      <c r="A50" s="98" t="inlineStr">
        <is>
          <t>to be engineered out</t>
        </is>
      </c>
      <c r="B50" s="98">
        <f>COUNTIF('Form 19 Knowledge Inventory'!$D$5:$D$204,"to be engineered out")</f>
        <v/>
      </c>
    </row>
    <row r="51" ht="15" customHeight="1" s="40">
      <c r="A51" s="98" t="inlineStr">
        <is>
          <t>to be documented</t>
        </is>
      </c>
      <c r="B51" s="98">
        <f>COUNTIF('Form 19 Knowledge Inventory'!$D$5:$D$204,"to be documented")</f>
        <v/>
      </c>
    </row>
    <row r="52" ht="15" customHeight="1" s="40">
      <c r="A52" s="98" t="inlineStr">
        <is>
          <t>already documented</t>
        </is>
      </c>
      <c r="B52" s="98">
        <f>COUNTIF('Form 19 Knowledge Inventory'!$D$5:$D$204,"already documented")</f>
        <v/>
      </c>
    </row>
    <row r="53"/>
    <row r="54" ht="15" customHeight="1" s="40">
      <c r="A54" s="97" t="inlineStr">
        <is>
          <t>How long could we ship?</t>
        </is>
      </c>
      <c r="B54" s="97" t="inlineStr">
        <is>
          <t>Suppliers</t>
        </is>
      </c>
    </row>
    <row r="55" ht="15" customHeight="1" s="40">
      <c r="A55" s="98" t="inlineStr">
        <is>
          <t>indefinitely</t>
        </is>
      </c>
      <c r="B55" s="98">
        <f>COUNTIF('Form 17 Supplier Ranking'!$E$5:$E$64,"indefinitely")</f>
        <v/>
      </c>
    </row>
    <row r="56" ht="15" customHeight="1" s="40">
      <c r="A56" s="98" t="inlineStr">
        <is>
          <t>over a year</t>
        </is>
      </c>
      <c r="B56" s="98">
        <f>COUNTIF('Form 17 Supplier Ranking'!$E$5:$E$64,"over a year")</f>
        <v/>
      </c>
    </row>
    <row r="57" ht="15" customHeight="1" s="40">
      <c r="A57" s="98" t="inlineStr">
        <is>
          <t>3-12 months</t>
        </is>
      </c>
      <c r="B57" s="98">
        <f>COUNTIF('Form 17 Supplier Ranking'!$E$5:$E$64,"3-12 months")</f>
        <v/>
      </c>
    </row>
    <row r="58" ht="15" customHeight="1" s="40">
      <c r="A58" s="98" t="inlineStr">
        <is>
          <t>1-3 months</t>
        </is>
      </c>
      <c r="B58" s="98">
        <f>COUNTIF('Form 17 Supplier Ranking'!$E$5:$E$64,"1-3 months")</f>
        <v/>
      </c>
    </row>
    <row r="59" ht="15" customHeight="1" s="40">
      <c r="A59" s="98" t="inlineStr">
        <is>
          <t>2-4 weeks</t>
        </is>
      </c>
      <c r="B59" s="98">
        <f>COUNTIF('Form 17 Supplier Ranking'!$E$5:$E$64,"2-4 weeks")</f>
        <v/>
      </c>
    </row>
    <row r="60" ht="15" customHeight="1" s="40">
      <c r="A60" s="98" t="inlineStr">
        <is>
          <t>days</t>
        </is>
      </c>
      <c r="B60" s="98">
        <f>COUNTIF('Form 17 Supplier Ranking'!$E$5:$E$64,"days")</f>
        <v/>
      </c>
    </row>
    <row r="61"/>
    <row r="62" ht="15" customHeight="1" s="40">
      <c r="A62" s="97" t="inlineStr">
        <is>
          <t>Transition verdict</t>
        </is>
      </c>
      <c r="B62" s="97" t="inlineStr">
        <is>
          <t>Items</t>
        </is>
      </c>
    </row>
    <row r="63" ht="15" customHeight="1" s="40">
      <c r="A63" s="98" t="inlineStr">
        <is>
          <t>already done</t>
        </is>
      </c>
      <c r="B63" s="98">
        <f>COUNTIF('Form 21 Transition'!$C$5:$C$44,"already done")</f>
        <v/>
      </c>
    </row>
    <row r="64" ht="15" customHeight="1" s="40">
      <c r="A64" s="98" t="inlineStr">
        <is>
          <t>done not evidenced</t>
        </is>
      </c>
      <c r="B64" s="98">
        <f>COUNTIF('Form 21 Transition'!$C$5:$C$44,"done not evidenced")</f>
        <v/>
      </c>
    </row>
    <row r="65" ht="15" customHeight="1" s="40">
      <c r="A65" s="98" t="inlineStr">
        <is>
          <t>not done low effort</t>
        </is>
      </c>
      <c r="B65" s="98">
        <f>COUNTIF('Form 21 Transition'!$C$5:$C$44,"not done low effort")</f>
        <v/>
      </c>
    </row>
    <row r="66" ht="15" customHeight="1" s="40">
      <c r="A66" s="98" t="inlineStr">
        <is>
          <t>not done real work</t>
        </is>
      </c>
      <c r="B66" s="98">
        <f>COUNTIF('Form 21 Transition'!$C$5:$C$44,"not done real work")</f>
        <v/>
      </c>
    </row>
  </sheetData>
  <sheetProtection selectLockedCells="0" selectUnlockedCells="0" sheet="1" objects="0" insertRows="1" insertHyperlinks="1" autoFilter="1" scenarios="0" formatColumns="1" deleteColumns="1" insertColumns="1" pivotTables="1" deleteRows="1" formatCells="1" formatRows="1" sort="1"/>
  <mergeCells count="18">
    <mergeCell ref="A4:B4"/>
    <mergeCell ref="G4:H4"/>
    <mergeCell ref="A1:J1"/>
    <mergeCell ref="E4:F4"/>
    <mergeCell ref="I4:J4"/>
    <mergeCell ref="A42:J44"/>
    <mergeCell ref="C7:D7"/>
    <mergeCell ref="A7:B7"/>
    <mergeCell ref="G7:H7"/>
    <mergeCell ref="E7:F7"/>
    <mergeCell ref="I7:J7"/>
    <mergeCell ref="C5:D6"/>
    <mergeCell ref="A5:B6"/>
    <mergeCell ref="G5:H6"/>
    <mergeCell ref="E5:F6"/>
    <mergeCell ref="I5:J6"/>
    <mergeCell ref="A2:J2"/>
    <mergeCell ref="C4:D4"/>
  </mergeCells>
  <printOptions horizontalCentered="0" verticalCentered="0" headings="0" gridLines="0" gridLinesSet="1"/>
  <pageMargins left="0.75" right="0.75" top="1" bottom="1" header="0.511805555555556" footer="0.511805555555556"/>
  <pageSetup orientation="landscape" paperSize="1" scale="100" fitToHeight="0"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filterMode="0">
    <tabColor rgb="00C9CCD2"/>
    <outlinePr summaryBelow="1" summaryRight="1"/>
    <pageSetUpPr fitToPage="0"/>
  </sheetPr>
  <dimension ref="A1:B1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70" min="1" max="1"/>
    <col width="82" customWidth="1" style="70" min="2" max="2"/>
  </cols>
  <sheetData>
    <row r="1" ht="25.5" customHeight="1" s="40">
      <c r="A1" s="71" t="inlineStr">
        <is>
          <t>EXAMPLE A SINGLE-SOURCE FOUNDRY</t>
        </is>
      </c>
    </row>
    <row r="2" ht="15.75" customHeight="1" s="40">
      <c r="A2" s="72" t="inlineStr">
        <is>
          <t>Worked assessment from Part Four of the book. Read, do not edit.</t>
        </is>
      </c>
    </row>
    <row r="3"/>
    <row r="4" ht="36" customHeight="1" s="40">
      <c r="A4" s="99" t="inlineStr">
        <is>
          <t>Supply</t>
        </is>
      </c>
      <c r="B4" s="100" t="inlineStr">
        <is>
          <t>Cast-iron housings. 90 percent of Norwood’s castings. Never assessed on site since 2016.</t>
        </is>
      </c>
    </row>
    <row r="5"/>
    <row r="6" ht="39.75" customHeight="1" s="40">
      <c r="A6" s="101" t="inlineStr">
        <is>
          <t>We are % of their output</t>
        </is>
      </c>
      <c r="B6" s="102" t="inlineStr">
        <is>
          <t>4%</t>
        </is>
      </c>
    </row>
    <row r="7" ht="39.75" customHeight="1" s="40">
      <c r="A7" s="99" t="inlineStr">
        <is>
          <t>They are % of our supply</t>
        </is>
      </c>
      <c r="B7" s="103" t="inlineStr">
        <is>
          <t>90%</t>
        </is>
      </c>
    </row>
    <row r="8" ht="39.75" customHeight="1" s="40">
      <c r="A8" s="101" t="inlineStr">
        <is>
          <t>Consequence</t>
        </is>
      </c>
      <c r="B8" s="102" t="inlineStr">
        <is>
          <t>Production stops in eleven days</t>
        </is>
      </c>
    </row>
    <row r="9" ht="39.75" customHeight="1" s="40">
      <c r="A9" s="99" t="inlineStr">
        <is>
          <t>Certificate on file</t>
        </is>
      </c>
      <c r="B9" s="103" t="inlineStr">
        <is>
          <t>Expired 25 months ago. Reissued 2024, never sent, never asked for.</t>
        </is>
      </c>
    </row>
    <row r="10" ht="39.75" customHeight="1" s="40">
      <c r="A10" s="101" t="inlineStr">
        <is>
          <t>Single points</t>
        </is>
      </c>
      <c r="B10" s="102" t="inlineStr">
        <is>
          <t>One molding line capable of this casting size. Eleven customers queue behind it.</t>
        </is>
      </c>
    </row>
    <row r="11" ht="39.75" customHeight="1" s="40">
      <c r="A11" s="99" t="inlineStr">
        <is>
          <t>Site</t>
        </is>
      </c>
      <c r="B11" s="103" t="inlineStr">
        <is>
          <t>Valley, second flood category. Pattern relocation happened in 2019, took 11 hours, undocumented.</t>
        </is>
      </c>
    </row>
    <row r="12" ht="39.75" customHeight="1" s="40">
      <c r="A12" s="101" t="inlineStr">
        <is>
          <t>Agreed</t>
        </is>
      </c>
      <c r="B12" s="102" t="inlineStr">
        <is>
          <t>Written pattern relocation procedure, copy held by Norwood. Certificate and hardness data to a named person on reissue.</t>
        </is>
      </c>
    </row>
    <row r="13" ht="39.75" customHeight="1" s="40">
      <c r="A13" s="99" t="inlineStr">
        <is>
          <t>Not agreed</t>
        </is>
      </c>
      <c r="B13" s="103" t="inlineStr">
        <is>
          <t>A second molding line, flood defense, a change of site. Not available to a customer at 4 percent.</t>
        </is>
      </c>
    </row>
    <row r="14" ht="39.75" customHeight="1" s="40">
      <c r="A14" s="101" t="inlineStr">
        <is>
          <t>Residual risk</t>
        </is>
      </c>
      <c r="B14" s="102" t="inlineStr">
        <is>
          <t>Single source retained. Owner: operations. Trigger: ownership or site change, any interruption over 5 days, or 12 months.</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12.xml><?xml version="1.0" encoding="utf-8"?>
<worksheet xmlns="http://schemas.openxmlformats.org/spreadsheetml/2006/main">
  <sheetPr filterMode="0">
    <tabColor rgb="00C9CCD2"/>
    <outlinePr summaryBelow="1" summaryRight="1"/>
    <pageSetUpPr fitToPage="0"/>
  </sheetPr>
  <dimension ref="A1:B1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70" min="1" max="1"/>
    <col width="82" customWidth="1" style="70" min="2" max="2"/>
  </cols>
  <sheetData>
    <row r="1" ht="25.5" customHeight="1" s="40">
      <c r="A1" s="71" t="inlineStr">
        <is>
          <t>EXAMPLE B DISTRIBUTOR</t>
        </is>
      </c>
    </row>
    <row r="2" ht="15.75" customHeight="1" s="40">
      <c r="A2" s="72" t="inlineStr">
        <is>
          <t>Worked assessment from Part Four of the book. Read, do not edit.</t>
        </is>
      </c>
    </row>
    <row r="3"/>
    <row r="4" ht="36" customHeight="1" s="40">
      <c r="A4" s="99" t="inlineStr">
        <is>
          <t>Supply</t>
        </is>
      </c>
      <c r="B4" s="100" t="inlineStr">
        <is>
          <t>Seals, fasteners, hydraulic fittings. Eleven part numbers, low value, high consequence.</t>
        </is>
      </c>
    </row>
    <row r="5"/>
    <row r="6" ht="39.75" customHeight="1" s="40">
      <c r="A6" s="101" t="inlineStr">
        <is>
          <t>Why now</t>
        </is>
      </c>
      <c r="B6" s="102" t="inlineStr">
        <is>
          <t>Supplier bought and moved site 19 months ago. Found by a standing agenda item, not by an audit.</t>
        </is>
      </c>
    </row>
    <row r="7" ht="39.75" customHeight="1" s="40">
      <c r="A7" s="99" t="inlineStr">
        <is>
          <t>The only three questions</t>
        </is>
      </c>
      <c r="B7" s="103" t="inlineStr">
        <is>
          <t>Do you know who made this? Do you ever change them? What do you do with the certificates?</t>
        </is>
      </c>
    </row>
    <row r="8" ht="39.75" customHeight="1" s="40">
      <c r="A8" s="101" t="inlineStr">
        <is>
          <t>Found</t>
        </is>
      </c>
      <c r="B8" s="102" t="inlineStr">
        <is>
          <t>11 part numbers, 9 with a named manufacturer. 2 with none—both seals, both on the pressure test boundary.</t>
        </is>
      </c>
    </row>
    <row r="9" ht="39.75" customHeight="1" s="40">
      <c r="A9" s="99" t="inlineStr">
        <is>
          <t>Substitution policy</t>
        </is>
      </c>
      <c r="B9" s="103" t="inlineStr">
        <is>
          <t>None written. Practice: they substitute equivalents and notify on the delivery note.</t>
        </is>
      </c>
    </row>
    <row r="10" ht="39.75" customHeight="1" s="40">
      <c r="A10" s="101" t="inlineStr">
        <is>
          <t>The actual finding</t>
        </is>
      </c>
      <c r="B10" s="102" t="inlineStr">
        <is>
          <t>At Norwood. The delivery note is checked for quantity and read by nobody.</t>
        </is>
      </c>
    </row>
    <row r="11" ht="39.75" customHeight="1" s="40">
      <c r="A11" s="99" t="inlineStr">
        <is>
          <t>Outcome</t>
        </is>
      </c>
      <c r="B11" s="103" t="inlineStr">
        <is>
          <t>2 part numbers moved to a manufacturer’s certificate. Substitution clause in the PO text. Receiving instruction to read the note for changes.</t>
        </is>
      </c>
    </row>
    <row r="12" ht="39.75" customHeight="1" s="40">
      <c r="A12" s="101" t="inlineStr">
        <is>
          <t>Cost</t>
        </is>
      </c>
      <c r="B12" s="102" t="inlineStr">
        <is>
          <t>One afternoon. Closed a route by which an unknown seal could reach a pressure boundary.</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13.xml><?xml version="1.0" encoding="utf-8"?>
<worksheet xmlns="http://schemas.openxmlformats.org/spreadsheetml/2006/main">
  <sheetPr filterMode="0">
    <tabColor rgb="00C9CCD2"/>
    <outlinePr summaryBelow="1" summaryRight="1"/>
    <pageSetUpPr fitToPage="0"/>
  </sheetPr>
  <dimension ref="A1:B1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70" min="1" max="1"/>
    <col width="82" customWidth="1" style="70" min="2" max="2"/>
  </cols>
  <sheetData>
    <row r="1" ht="25.5" customHeight="1" s="40">
      <c r="A1" s="71" t="inlineStr">
        <is>
          <t>EXAMPLE C CALIBRATION HOUSE</t>
        </is>
      </c>
    </row>
    <row r="2" ht="15.75" customHeight="1" s="40">
      <c r="A2" s="72" t="inlineStr">
        <is>
          <t>Worked assessment from Part Four of the book. Read, do not edit.</t>
        </is>
      </c>
    </row>
    <row r="3"/>
    <row r="4" ht="36" customHeight="1" s="40">
      <c r="A4" s="99" t="inlineStr">
        <is>
          <t>Supply</t>
        </is>
      </c>
      <c r="B4" s="100" t="inlineStr">
        <is>
          <t>Calibration of all measuring equipment. About £4,000 a year. Never assessed in eleven years.</t>
        </is>
      </c>
    </row>
    <row r="5"/>
    <row r="6" ht="39.75" customHeight="1" s="40">
      <c r="A6" s="101" t="inlineStr">
        <is>
          <t>Spend rank</t>
        </is>
      </c>
      <c r="B6" s="102" t="inlineStr">
        <is>
          <t>11 of 11</t>
        </is>
      </c>
    </row>
    <row r="7" ht="39.75" customHeight="1" s="40">
      <c r="A7" s="99" t="inlineStr">
        <is>
          <t>Consequence rank</t>
        </is>
      </c>
      <c r="B7" s="103" t="inlineStr">
        <is>
          <t>2 of 11. No release of product 30 days after they stop.</t>
        </is>
      </c>
    </row>
    <row r="8" ht="39.75" customHeight="1" s="40">
      <c r="A8" s="101" t="inlineStr">
        <is>
          <t>The number</t>
        </is>
      </c>
      <c r="B8" s="102" t="inlineStr">
        <is>
          <t>Personnel qualified to calibrate the two gauge types Norwood depends on: 1</t>
        </is>
      </c>
    </row>
    <row r="9" ht="39.75" customHeight="1" s="40">
      <c r="A9" s="99" t="inlineStr">
        <is>
          <t>Him</t>
        </is>
      </c>
      <c r="B9" s="103" t="inlineStr">
        <is>
          <t>There since 2004, the owner’s brother-in-law, fifty-six.</t>
        </is>
      </c>
    </row>
    <row r="10" ht="39.75" customHeight="1" s="40">
      <c r="A10" s="101" t="inlineStr">
        <is>
          <t>Agreed</t>
        </is>
      </c>
      <c r="B10" s="102" t="inlineStr">
        <is>
          <t>A second calibration house identified and issued with one gauge type as a trial, about £600 a year.</t>
        </is>
      </c>
    </row>
    <row r="11" ht="39.75" customHeight="1" s="40">
      <c r="A11" s="99" t="inlineStr">
        <is>
          <t>Not agreed</t>
        </is>
      </c>
      <c r="B11" s="103" t="inlineStr">
        <is>
          <t>Training a second person. Not something a £4,000 customer can ask of a four-person business.</t>
        </is>
      </c>
    </row>
    <row r="12" ht="39.75" customHeight="1" s="40">
      <c r="A12" s="101" t="inlineStr">
        <is>
          <t>Residual risk</t>
        </is>
      </c>
      <c r="B12" s="102" t="inlineStr">
        <is>
          <t>Recorded and owned. Trigger: any change of personnel at the supplier, any delay beyond 10 working days, or 12 months.</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B2"/>
    <mergeCell ref="A1:B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NF-CW4 · NBSM v1.0</oddHeader>
    <oddFooter>&amp;L&amp;8 Companion to Part Four&amp;C&amp;8 Page &amp;P of &amp;N&amp;R&amp;8 &amp;D</oddFooter>
    <evenHeader/>
    <evenFooter/>
    <firstHeader/>
    <firstFooter/>
  </headerFooter>
</worksheet>
</file>

<file path=xl/worksheets/sheet14.xml><?xml version="1.0" encoding="utf-8"?>
<worksheet xmlns="http://schemas.openxmlformats.org/spreadsheetml/2006/main">
  <sheetPr filterMode="0">
    <tabColor rgb="0015161A"/>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0" min="1" max="1"/>
    <col width="100" customWidth="1" style="70" min="2" max="2"/>
  </cols>
  <sheetData>
    <row r="1"/>
    <row r="2"/>
    <row r="3"/>
    <row r="4"/>
    <row r="5"/>
    <row r="6" ht="17.35" customHeight="1" s="40">
      <c r="B6" s="104" t="inlineStr">
        <is>
          <t>THE NORWOOD FILES</t>
        </is>
      </c>
    </row>
    <row r="7" ht="15" customHeight="1" s="40">
      <c r="B7" s="105" t="inlineStr">
        <is>
          <t>Companion to Part Four</t>
        </is>
      </c>
    </row>
    <row r="8"/>
    <row r="9" ht="15" customHeight="1" s="40">
      <c r="B9" s="106" t="inlineStr">
        <is>
          <t>Document code: NF-CW4 · Identity: NBSM v1.0 · Baseline: RC-Rev9 · Issued 29 August 2026</t>
        </is>
      </c>
    </row>
    <row r="10"/>
    <row r="11" ht="23.85" customHeight="1" s="40">
      <c r="B11" s="107" t="inlineStr">
        <is>
          <t>This workbook is part of The Norwood Files ecosystem — business novels and working instruments for the people who run quality in manufacturing, written for ISO 9001 and current to the 2026 edition.</t>
        </is>
      </c>
    </row>
    <row r="12"/>
    <row r="13" ht="23.85" customHeight="1" s="40">
      <c r="B13" s="107" t="inlineStr">
        <is>
          <t>The Register Mark — one line, one red square: the process, and the record found in it. In every Norwood chart and register, red means exactly one thing: the finding.</t>
        </is>
      </c>
    </row>
    <row r="14"/>
    <row r="15" ht="15" customHeight="1" s="40">
      <c r="B15" s="107" t="inlineStr">
        <is>
          <t>Cell conventions: blue text = your inputs · black = calculated · yellow fill = attention · red ■ = fired trigger/finding.</t>
        </is>
      </c>
    </row>
    <row r="16"/>
    <row r="17" ht="15" customHeight="1" s="40">
      <c r="B17" s="108" t="inlineStr">
        <is>
          <t>Controlled document. Changes to this instrument follow the Norwood Brand Standards Manual Part XII and NF-ECP 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&amp;LTHE NORWOOD FILES  ·  ■&amp;RNF-CW4 · NBSM v1.0</oddHeader>
    <oddFooter>&amp;CPage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 Bleigh</dc:creator>
  <dc:title xmlns:dc="http://purl.org/dc/elements/1.1/">The Norwood Files — Companion to Part Four</dc:title>
  <dc:description xmlns:dc="http://purl.org/dc/elements/1.1/">Companion to The Norwood Files, Part Four — The Supplier and the Knowledge. Current to the 2026 edition of ISO 9001.</dc:description>
  <dc:subject xmlns:dc="http://purl.org/dc/elements/1.1/">Official Companion Workbook · NF-CW4 · v2.0</dc:subject>
  <dc:language xmlns:dc="http://purl.org/dc/elements/1.1/">en-US</dc:language>
  <dcterms:created xmlns:dcterms="http://purl.org/dc/terms/" xmlns:xsi="http://www.w3.org/2001/XMLSchema-instance" xsi:type="dcterms:W3CDTF">2026-08-09T17:05:50Z</dcterms:created>
  <dcterms:modified xmlns:dcterms="http://purl.org/dc/terms/" xmlns:xsi="http://www.w3.org/2001/XMLSchema-instance" xsi:type="dcterms:W3CDTF">2026-09-06T12:00:00Z</dcterms:modified>
  <cp:lastModifiedBy>Dan Bleigh</cp:lastModifiedBy>
  <cp:category>Official Companion Workbook</cp:category>
  <cp:revision>6</cp:revision>
  <cp:keywords>The Norwood Files; Companion Workbook; ISO 9001; quality management</cp:keywords>
</cp:coreProperties>
</file>