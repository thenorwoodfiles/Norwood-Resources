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1 Audit Program" sheetId="5" state="visible" r:id="rId5"/>
    <sheet xmlns:r="http://schemas.openxmlformats.org/officeDocument/2006/relationships" name="Form 2 Audit Plan" sheetId="6" state="visible" r:id="rId6"/>
    <sheet xmlns:r="http://schemas.openxmlformats.org/officeDocument/2006/relationships" name="Form 3 Trail Record" sheetId="7" state="visible" r:id="rId7"/>
    <sheet xmlns:r="http://schemas.openxmlformats.org/officeDocument/2006/relationships" name="Form 4 Sample Record" sheetId="8" state="visible" r:id="rId8"/>
    <sheet xmlns:r="http://schemas.openxmlformats.org/officeDocument/2006/relationships" name="Form 5 Finding Register" sheetId="9" state="visible" r:id="rId9"/>
    <sheet xmlns:r="http://schemas.openxmlformats.org/officeDocument/2006/relationships" name="Form 6 Closure Verification" sheetId="10" state="visible" r:id="rId10"/>
    <sheet xmlns:r="http://schemas.openxmlformats.org/officeDocument/2006/relationships" name="Dashboard" sheetId="11" state="visible" r:id="rId11"/>
    <sheet xmlns:r="http://schemas.openxmlformats.org/officeDocument/2006/relationships" name="EXAMPLE A Goods-in" sheetId="12" state="visible" r:id="rId12"/>
    <sheet xmlns:r="http://schemas.openxmlformats.org/officeDocument/2006/relationships" name="EXAMPLE B Machining cell" sheetId="13" state="visible" r:id="rId13"/>
    <sheet xmlns:r="http://schemas.openxmlformats.org/officeDocument/2006/relationships" name="EXAMPLE C Management review" sheetId="14" state="visible" r:id="rId14"/>
    <sheet xmlns:r="http://schemas.openxmlformats.org/officeDocument/2006/relationships" name="About" sheetId="15" state="visible" r:id="rId15"/>
  </sheets>
  <definedNames>
    <definedName name="_xlnm.Print_Area" localSheetId="0">'Cover'!$A$1:$I$31</definedName>
    <definedName name="_xlnm.Print_Area" localSheetId="1">'WELCOME'!$A$1:$I$71</definedName>
    <definedName name="_xlnm.Print_Area" localSheetId="2">'LICENCE'!$A$1:$I$48</definedName>
    <definedName name="_xlnm._FilterDatabase" localSheetId="4" hidden="1">'Form 1 Audit Program'!$A$4:$H$64</definedName>
    <definedName name="_xlnm._FilterDatabase" localSheetId="8" hidden="1">'Form 5 Finding Register'!$A$4:$Q$304</definedName>
    <definedName name="_xlnm.Print_Area" localSheetId="10">'Dashboard'!$A$1:$J$44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4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sz val="10"/>
    </font>
    <font>
      <name val="Arial"/>
      <charset val="1"/>
      <family val="0"/>
      <b val="1"/>
      <color rgb="FF9C0006"/>
      <sz val="9"/>
    </font>
    <font>
      <name val="Arial"/>
      <charset val="1"/>
      <family val="0"/>
      <b val="1"/>
      <color rgb="FFFFFFFF"/>
      <sz val="8.5"/>
    </font>
    <font>
      <name val="Arial"/>
      <charset val="1"/>
      <family val="0"/>
      <b val="1"/>
      <color rgb="FF1F3864"/>
      <sz val="22"/>
    </font>
    <font>
      <name val="Arial"/>
      <charset val="1"/>
      <family val="0"/>
      <color rgb="FF6A6A6A"/>
      <sz val="8"/>
    </font>
    <font>
      <name val="Arial"/>
      <charset val="1"/>
      <family val="0"/>
      <b val="1"/>
      <color rgb="FF1F3864"/>
      <sz val="9"/>
    </font>
    <font>
      <name val="Arial"/>
      <charset val="1"/>
      <family val="0"/>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3">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F2F2F2"/>
        <bgColor rgb="FFF2F4F8"/>
      </patternFill>
    </fill>
    <fill>
      <patternFill patternType="solid">
        <fgColor rgb="FFC0392B"/>
        <bgColor rgb="FF993366"/>
      </patternFill>
    </fill>
    <fill>
      <patternFill patternType="solid">
        <fgColor rgb="FFD68910"/>
        <bgColor rgb="FFFF6600"/>
      </patternFill>
    </fill>
    <fill>
      <patternFill patternType="solid">
        <fgColor rgb="FFF2F4F8"/>
        <bgColor rgb="FFF2F2F2"/>
      </patternFill>
    </fill>
    <fill>
      <patternFill patternType="solid">
        <fgColor rgb="FFF7F7F5"/>
        <bgColor rgb="FFF2F4F8"/>
      </patternFill>
    </fill>
    <fill>
      <patternFill patternType="solid">
        <fgColor rgb="FFD9D9D9"/>
        <bgColor rgb="FFC6EFCE"/>
      </patternFill>
    </fill>
    <fill>
      <patternFill patternType="solid">
        <fgColor rgb="FF15161A"/>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164" fontId="11" fillId="0" borderId="1" applyAlignment="1" pivotButton="0" quotePrefix="0" xfId="0">
      <alignment horizontal="center" vertical="center"/>
    </xf>
    <xf numFmtId="0" fontId="11" fillId="0" borderId="1" applyAlignment="1" pivotButton="0" quotePrefix="0" xfId="0">
      <alignment horizontal="center" vertical="center"/>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1" applyAlignment="1" pivotButton="0" quotePrefix="0" xfId="0">
      <alignment horizontal="general" vertical="top" wrapText="1"/>
    </xf>
    <xf numFmtId="0" fontId="12" fillId="0" borderId="1" applyAlignment="1" pivotButton="0" quotePrefix="0" xfId="0">
      <alignment horizontal="center" vertical="center" wrapText="1"/>
    </xf>
    <xf numFmtId="0" fontId="13" fillId="2" borderId="0" applyAlignment="1" pivotButton="0" quotePrefix="0" xfId="0">
      <alignment horizontal="center" vertical="center"/>
    </xf>
    <xf numFmtId="0" fontId="13" fillId="7" borderId="0" applyAlignment="1" pivotButton="0" quotePrefix="0" xfId="0">
      <alignment horizontal="center" vertical="center"/>
    </xf>
    <xf numFmtId="0" fontId="13" fillId="8" borderId="0" applyAlignment="1" pivotButton="0" quotePrefix="0" xfId="0">
      <alignment horizontal="center" vertical="center"/>
    </xf>
    <xf numFmtId="0" fontId="14" fillId="9" borderId="0" applyAlignment="1" pivotButton="0" quotePrefix="0" xfId="0">
      <alignment horizontal="center" vertical="center"/>
    </xf>
    <xf numFmtId="0" fontId="15" fillId="0" borderId="0" applyAlignment="1" pivotButton="0" quotePrefix="0" xfId="0">
      <alignment horizontal="center" vertical="center"/>
    </xf>
    <xf numFmtId="0" fontId="5" fillId="10" borderId="0" applyAlignment="1" pivotButton="0" quotePrefix="0" xfId="0">
      <alignment horizontal="general" vertical="top" wrapText="1"/>
    </xf>
    <xf numFmtId="0" fontId="16" fillId="0" borderId="0" applyAlignment="1" pivotButton="0" quotePrefix="0" xfId="0">
      <alignment horizontal="general" vertical="bottom"/>
    </xf>
    <xf numFmtId="0" fontId="11" fillId="11" borderId="1" applyAlignment="1" pivotButton="0" quotePrefix="0" xfId="0">
      <alignment horizontal="general" vertical="bottom"/>
    </xf>
    <xf numFmtId="0" fontId="17" fillId="0" borderId="0" applyAlignment="1" pivotButton="0" quotePrefix="0" xfId="0">
      <alignment horizontal="general" vertical="bottom"/>
    </xf>
    <xf numFmtId="0" fontId="7" fillId="0" borderId="1" applyAlignment="1" pivotButton="0" quotePrefix="0" xfId="0">
      <alignment horizontal="general" vertical="top"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1"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general"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0" fillId="0" borderId="0" pivotButton="0" quotePrefix="0" xfId="0"/>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0" fillId="0" borderId="6" pivotButton="0" quotePrefix="0" xfId="0"/>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9" fillId="0" borderId="0" applyAlignment="1" pivotButton="0" quotePrefix="0" xfId="0">
      <alignment horizontal="left" vertical="top" wrapText="1"/>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0" fillId="0" borderId="7" pivotButton="0" quotePrefix="0" xfId="0"/>
    <xf numFmtId="0" fontId="32" fillId="0"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3" fillId="0" borderId="0" applyAlignment="1" pivotButton="0" quotePrefix="0" xfId="0">
      <alignment horizontal="left" vertical="top" wrapText="1"/>
    </xf>
    <xf numFmtId="0" fontId="37" fillId="0" borderId="0" applyAlignment="1" pivotButton="0" quotePrefix="0" xfId="0">
      <alignment horizontal="center" vertical="center"/>
    </xf>
    <xf numFmtId="0" fontId="38" fillId="12" borderId="0" applyAlignment="1" pivotButton="0" quotePrefix="0" xfId="0">
      <alignment horizontal="left" vertical="center"/>
    </xf>
    <xf numFmtId="0" fontId="0" fillId="12" borderId="0" pivotButton="0" quotePrefix="0" xfId="0"/>
    <xf numFmtId="0" fontId="39" fillId="0" borderId="7" applyAlignment="1" pivotButton="0" quotePrefix="0" xfId="0">
      <alignment horizontal="left" vertical="top" wrapText="1"/>
    </xf>
    <xf numFmtId="0" fontId="40" fillId="0" borderId="7" applyAlignment="1" pivotButton="0" quotePrefix="0" xfId="0">
      <alignment horizontal="left" vertical="top" wrapText="1"/>
    </xf>
    <xf numFmtId="0" fontId="41" fillId="0" borderId="0" applyAlignment="1" pivotButton="0" quotePrefix="0" xfId="0">
      <alignment horizontal="left" vertical="top" wrapText="1"/>
    </xf>
    <xf numFmtId="0" fontId="36" fillId="0" borderId="0" applyAlignment="1" pivotButton="0" quotePrefix="0" xfId="0">
      <alignment horizontal="left" vertical="top" wrapText="1"/>
    </xf>
    <xf numFmtId="0" fontId="42" fillId="0" borderId="8" applyAlignment="1" pivotButton="0" quotePrefix="0" xfId="0">
      <alignment horizontal="center" vertical="center" wrapText="1"/>
    </xf>
    <xf numFmtId="0" fontId="0" fillId="0" borderId="8" pivotButton="0" quotePrefix="0" xfId="0"/>
    <xf numFmtId="0" fontId="26" fillId="0" borderId="0" applyAlignment="1" pivotButton="0" quotePrefix="0" xfId="0">
      <alignment horizontal="left" vertical="top" wrapText="1"/>
    </xf>
    <xf numFmtId="0" fontId="32" fillId="0" borderId="7" applyAlignment="1" pivotButton="0" quotePrefix="0" xfId="0">
      <alignment horizontal="left" vertical="center"/>
    </xf>
    <xf numFmtId="0" fontId="33" fillId="0" borderId="7" applyAlignment="1" pivotButton="0" quotePrefix="0" xfId="0">
      <alignment horizontal="left" vertical="center"/>
    </xf>
    <xf numFmtId="0" fontId="40" fillId="0" borderId="0" applyAlignment="1" pivotButton="0" quotePrefix="0" xfId="0">
      <alignment horizontal="left" vertical="top" wrapText="1"/>
    </xf>
    <xf numFmtId="0" fontId="43"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164" fontId="11" fillId="0" borderId="1" applyAlignment="1" pivotButton="0" quotePrefix="0" xfId="0">
      <alignment horizontal="center" vertical="center"/>
    </xf>
    <xf numFmtId="0" fontId="11" fillId="0" borderId="1" applyAlignment="1" pivotButton="0" quotePrefix="0" xfId="0">
      <alignment horizontal="center" vertical="center"/>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1" applyAlignment="1" pivotButton="0" quotePrefix="0" xfId="0">
      <alignment horizontal="general" vertical="top" wrapText="1"/>
    </xf>
    <xf numFmtId="0" fontId="12" fillId="0" borderId="1" applyAlignment="1" pivotButton="0" quotePrefix="0" xfId="0">
      <alignment horizontal="center" vertical="center" wrapText="1"/>
    </xf>
    <xf numFmtId="0" fontId="13" fillId="2" borderId="0" applyAlignment="1" pivotButton="0" quotePrefix="0" xfId="0">
      <alignment horizontal="center" vertical="center"/>
    </xf>
    <xf numFmtId="0" fontId="13" fillId="7" borderId="0" applyAlignment="1" pivotButton="0" quotePrefix="0" xfId="0">
      <alignment horizontal="center" vertical="center"/>
    </xf>
    <xf numFmtId="0" fontId="13" fillId="8" borderId="0" applyAlignment="1" pivotButton="0" quotePrefix="0" xfId="0">
      <alignment horizontal="center" vertical="center"/>
    </xf>
    <xf numFmtId="0" fontId="14" fillId="9" borderId="0" applyAlignment="1" pivotButton="0" quotePrefix="0" xfId="0">
      <alignment horizontal="center" vertical="center"/>
    </xf>
    <xf numFmtId="0" fontId="15" fillId="0" borderId="0" applyAlignment="1" pivotButton="0" quotePrefix="0" xfId="0">
      <alignment horizontal="center" vertical="center"/>
    </xf>
    <xf numFmtId="0" fontId="5" fillId="10" borderId="0" applyAlignment="1" pivotButton="0" quotePrefix="0" xfId="0">
      <alignment horizontal="general" vertical="top" wrapText="1"/>
    </xf>
    <xf numFmtId="0" fontId="16" fillId="0" borderId="0" applyAlignment="1" pivotButton="0" quotePrefix="0" xfId="0">
      <alignment horizontal="general" vertical="bottom"/>
    </xf>
    <xf numFmtId="0" fontId="11" fillId="11" borderId="1" applyAlignment="1" pivotButton="0" quotePrefix="0" xfId="0">
      <alignment horizontal="general" vertical="bottom"/>
    </xf>
    <xf numFmtId="0" fontId="17" fillId="0" borderId="0" applyAlignment="1" pivotButton="0" quotePrefix="0" xfId="0">
      <alignment horizontal="general" vertical="bottom"/>
    </xf>
    <xf numFmtId="0" fontId="7" fillId="0" borderId="1" applyAlignment="1" pivotButton="0" quotePrefix="0" xfId="0">
      <alignment horizontal="general" vertical="top" wrapText="1"/>
    </xf>
    <xf numFmtId="0" fontId="0" fillId="0" borderId="4" pivotButton="0" quotePrefix="0" xfId="0"/>
    <xf numFmtId="0" fontId="0" fillId="0" borderId="5" pivotButton="0" quotePrefix="0" xfId="0"/>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1"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general"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2E5C8A"/>
          <bgColor rgb="FF000000"/>
        </patternFill>
      </fill>
    </dxf>
    <dxf>
      <fill>
        <patternFill patternType="solid">
          <fgColor rgb="FFFFFDF0"/>
          <bgColor rgb="FF000000"/>
        </patternFill>
      </fill>
    </dxf>
    <dxf>
      <fill>
        <patternFill patternType="solid">
          <fgColor rgb="FFFFFFFF"/>
          <bgColor rgb="FF000000"/>
        </patternFill>
      </fill>
    </dxf>
    <dxf>
      <fill>
        <patternFill patternType="solid">
          <fgColor rgb="FF0000CC"/>
          <bgColor rgb="FF000000"/>
        </patternFill>
      </fill>
    </dxf>
    <dxf>
      <fill>
        <patternFill patternType="solid">
          <bgColor rgb="FF000000"/>
        </patternFill>
      </fill>
    </dxf>
    <dxf>
      <font>
        <name val="Arial"/>
        <charset val="1"/>
        <family val="0"/>
        <b val="1"/>
        <color rgb="FF9C0006"/>
        <sz val="10"/>
      </font>
      <fill>
        <patternFill>
          <bgColor rgb="FFFFC7CE"/>
        </patternFill>
      </fill>
    </dxf>
    <dxf>
      <fill>
        <patternFill>
          <bgColor rgb="FFFFE699"/>
        </patternFill>
      </fill>
    </dxf>
    <dxf>
      <fill>
        <patternFill>
          <bgColor rgb="FFC6EFCE"/>
        </patternFill>
      </fill>
    </dxf>
    <dxf>
      <fill>
        <patternFill>
          <bgColor rgb="FFFFC7CE"/>
        </patternFill>
      </fill>
    </dxf>
    <dxf>
      <fill>
        <patternFill patternType="solid">
          <fgColor rgb="FF9C0006"/>
          <bgColor rgb="FF000000"/>
        </patternFill>
      </fill>
    </dxf>
  </dxfs>
  <colors>
    <indexedColors>
      <rgbColor rgb="FF000000"/>
      <rgbColor rgb="FFFFFFFF"/>
      <rgbColor rgb="FFFF0000"/>
      <rgbColor rgb="FF00FF00"/>
      <rgbColor rgb="FF0000CC"/>
      <rgbColor rgb="FFFFFF00"/>
      <rgbColor rgb="FFFF00FF"/>
      <rgbColor rgb="FF00FFFF"/>
      <rgbColor rgb="FF9C0006"/>
      <rgbColor rgb="FF008000"/>
      <rgbColor rgb="FF000080"/>
      <rgbColor rgb="FF777777"/>
      <rgbColor rgb="FF800080"/>
      <rgbColor rgb="FF008080"/>
      <rgbColor rgb="FFBFBFBF"/>
      <rgbColor rgb="FF878787"/>
      <rgbColor rgb="FF9999FF"/>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F7F7F5"/>
      <rgbColor rgb="FFFF99CC"/>
      <rgbColor rgb="FFCC99FF"/>
      <rgbColor rgb="FFFFC7CE"/>
      <rgbColor rgb="FF4F81BD"/>
      <rgbColor rgb="FF33CCCC"/>
      <rgbColor rgb="FF99CC00"/>
      <rgbColor rgb="FFFFCC00"/>
      <rgbColor rgb="FFD68910"/>
      <rgbColor rgb="FFFF6600"/>
      <rgbColor rgb="FF6A6A6A"/>
      <rgbColor rgb="FF9AA0A8"/>
      <rgbColor rgb="FF1F3864"/>
      <rgbColor rgb="FF1E8449"/>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Audit program status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Dashboard!B47</f>
              <strCache>
                <ptCount val="1"/>
                <pt idx="0">
                  <v>Audits</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Dashboard!$A$48:$A$50</f>
              <strCache>
                <ptCount val="3"/>
                <pt idx="0">
                  <v>OK</v>
                </pt>
                <pt idx="1">
                  <v>DUE SOON</v>
                </pt>
                <pt idx="2">
                  <v>OVERDUE</v>
                </pt>
              </strCache>
            </strRef>
          </cat>
          <val>
            <numRef>
              <f>Dashboard!$B$48:$B$50</f>
              <numCache>
                <formatCode>General</formatCode>
                <ptCount val="3"/>
                <pt idx="0">
                  <v>0</v>
                </pt>
                <pt idx="1">
                  <v>0</v>
                </pt>
                <pt idx="2">
                  <v>0</v>
                </pt>
              </numCache>
            </numRef>
          </val>
        </ser>
        <gapWidth val="60"/>
        <overlap val="0"/>
        <axId val="6825657"/>
        <axId val="22565932"/>
      </barChart>
      <catAx>
        <axId val="682565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22565932"/>
        <crosses val="autoZero"/>
        <auto val="1"/>
        <lblAlgn val="ctr"/>
        <lblOffset val="100"/>
        <noMultiLvlLbl val="0"/>
      </catAx>
      <valAx>
        <axId val="2256593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682565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Nonconformity or observation</a:t>
            </a:r>
          </a:p>
        </rich>
      </tx>
      <overlay val="0"/>
      <spPr>
        <a:noFill xmlns:a="http://schemas.openxmlformats.org/drawingml/2006/main"/>
        <a:ln xmlns:a="http://schemas.openxmlformats.org/drawingml/2006/main" w="0">
          <a:noFill/>
          <a:prstDash val="solid"/>
        </a:ln>
      </spPr>
    </title>
    <plotArea>
      <doughnutChart>
        <varyColors val="1"/>
        <ser>
          <idx val="0"/>
          <order val="0"/>
          <tx>
            <strRef>
              <f>Dashboard!B53</f>
              <strCache>
                <ptCount val="1"/>
                <pt idx="0">
                  <v>Findings</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c0392b"/>
              </a:solidFill>
              <a:ln xmlns:a="http://schemas.openxmlformats.org/drawingml/2006/main" w="0">
                <a:noFill/>
                <a:prstDash val="solid"/>
              </a:ln>
            </spPr>
          </dPt>
          <dPt>
            <idx val="1"/>
            <spPr>
              <a:solidFill xmlns:a="http://schemas.openxmlformats.org/drawingml/2006/main">
                <a:srgbClr val="9aa0a8"/>
              </a:solidFill>
              <a:ln xmlns:a="http://schemas.openxmlformats.org/drawingml/2006/main" w="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showLeaderLines val="1"/>
          </dLbls>
          <cat>
            <strRef>
              <f>Dashboard!$A$54:$A$55</f>
              <strCache>
                <ptCount val="2"/>
                <pt idx="0">
                  <v>Nonconformity</v>
                </pt>
                <pt idx="1">
                  <v>Observation</v>
                </pt>
              </strCache>
            </strRef>
          </cat>
          <val>
            <numRef>
              <f>Dashboard!$B$54:$B$55</f>
              <numCache>
                <formatCode>General</formatCode>
                <ptCount val="2"/>
                <pt idx="0">
                  <v>0</v>
                </pt>
                <pt idx="1">
                  <v>0</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Age of open findings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Dashboard!B58</f>
              <strCache>
                <ptCount val="1"/>
                <pt idx="0">
                  <v>Count</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Dashboard!$A$59:$A$62</f>
              <strCache>
                <ptCount val="4"/>
                <pt idx="0">
                  <v>over 90 days</v>
                </pt>
                <pt idx="1">
                  <v>61 to 90</v>
                </pt>
                <pt idx="2">
                  <v>31 to 60</v>
                </pt>
                <pt idx="3">
                  <v>30 or fewer</v>
                </pt>
              </strCache>
            </strRef>
          </cat>
          <val>
            <numRef>
              <f>Dashboard!$B$59:$B$62</f>
              <numCache>
                <formatCode>General</formatCode>
                <ptCount val="4"/>
                <pt idx="0">
                  <v>0</v>
                </pt>
                <pt idx="1">
                  <v>0</v>
                </pt>
                <pt idx="2">
                  <v>0</v>
                </pt>
                <pt idx="3">
                  <v>0</v>
                </pt>
              </numCache>
            </numRef>
          </val>
        </ser>
        <gapWidth val="50"/>
        <overlap val="0"/>
        <axId val="68384482"/>
        <axId val="3556712"/>
      </barChart>
      <catAx>
        <axId val="6838448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556712"/>
        <crosses val="autoZero"/>
        <auto val="1"/>
        <lblAlgn val="ctr"/>
        <lblOffset val="100"/>
        <noMultiLvlLbl val="0"/>
      </catAx>
      <valAx>
        <axId val="355671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6838448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Findings by status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Dashboard!B65</f>
              <strCache>
                <ptCount val="1"/>
                <pt idx="0">
                  <v>Findings</v>
                </pt>
              </strCache>
            </strRef>
          </tx>
          <spPr>
            <a:solidFill xmlns:a="http://schemas.openxmlformats.org/drawingml/2006/main">
              <a:srgbClr val="1e844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Dashboard!$A$66:$A$68</f>
              <strCache>
                <ptCount val="3"/>
                <pt idx="0">
                  <v>open</v>
                </pt>
                <pt idx="1">
                  <v>actioned</v>
                </pt>
                <pt idx="2">
                  <v>closed</v>
                </pt>
              </strCache>
            </strRef>
          </cat>
          <val>
            <numRef>
              <f>Dashboard!$B$66:$B$68</f>
              <numCache>
                <formatCode>General</formatCode>
                <ptCount val="3"/>
                <pt idx="0">
                  <v>0</v>
                </pt>
                <pt idx="1">
                  <v>0</v>
                </pt>
                <pt idx="2">
                  <v>0</v>
                </pt>
              </numCache>
            </numRef>
          </val>
        </ser>
        <gapWidth val="50"/>
        <overlap val="0"/>
        <axId val="40718044"/>
        <axId val="57036901"/>
      </barChart>
      <catAx>
        <axId val="4071804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7036901"/>
        <crosses val="autoZero"/>
        <auto val="1"/>
        <lblAlgn val="ctr"/>
        <lblOffset val="100"/>
        <noMultiLvlLbl val="0"/>
      </catAx>
      <valAx>
        <axId val="5703690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4071804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4</col>
      <colOff>614160</colOff>
      <row>23</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0</colOff>
      <row>8</row>
      <rowOff>0</rowOff>
    </from>
    <to>
      <col>8</col>
      <colOff>552600</colOff>
      <row>23</row>
      <rowOff>20880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26</row>
      <rowOff>0</rowOff>
    </from>
    <to>
      <col>5</col>
      <colOff>199080</colOff>
      <row>39</row>
      <rowOff>185760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5</col>
      <colOff>0</colOff>
      <row>26</row>
      <rowOff>0</rowOff>
    </from>
    <to>
      <col>11</col>
      <colOff>10440</colOff>
      <row>39</row>
      <rowOff>185760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5.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38" min="1" max="1"/>
    <col width="13" customWidth="1" style="38" min="2" max="2"/>
    <col width="13" customWidth="1" style="38" min="3" max="3"/>
    <col width="13" customWidth="1" style="38" min="4" max="4"/>
    <col width="13" customWidth="1" style="38" min="5" max="5"/>
    <col width="13" customWidth="1" style="38" min="6" max="6"/>
    <col width="13" customWidth="1" style="38" min="7" max="7"/>
    <col width="13" customWidth="1" style="38" min="8" max="8"/>
    <col width="2.5" customWidth="1" style="38" min="9" max="9"/>
  </cols>
  <sheetData>
    <row r="2" ht="18" customHeight="1" s="38"/>
    <row r="3" ht="44" customHeight="1" s="38">
      <c r="E3" s="39" t="inlineStr">
        <is>
          <t>THE NORWOOD FILES</t>
        </is>
      </c>
      <c r="H3" s="40" t="inlineStr">
        <is>
          <t>NF-CW2  ·  v1.0</t>
        </is>
      </c>
    </row>
    <row r="4" ht="6" customHeight="1" s="38">
      <c r="B4" s="41" t="n"/>
      <c r="C4" s="41" t="n"/>
      <c r="D4" s="41" t="n"/>
      <c r="E4" s="41" t="n"/>
      <c r="F4" s="41" t="n"/>
      <c r="G4" s="41" t="n"/>
      <c r="H4" s="41" t="n"/>
    </row>
    <row r="5" ht="14" customHeight="1" s="38"/>
    <row r="6" ht="14" customHeight="1" s="38"/>
    <row r="7" ht="14" customHeight="1" s="38"/>
    <row r="8" ht="14" customHeight="1" s="38"/>
    <row r="9" ht="20" customHeight="1" s="38">
      <c r="B9" s="42" t="inlineStr">
        <is>
          <t>OFFICIAL COMPANION WORKBOOK</t>
        </is>
      </c>
    </row>
    <row r="11" ht="46" customHeight="1" s="38">
      <c r="B11" s="43" t="inlineStr">
        <is>
          <t>Nothing to Report</t>
        </is>
      </c>
    </row>
    <row r="12" ht="17" customHeight="1" s="38">
      <c r="B12" s="44" t="inlineStr">
        <is>
          <t>A Novel About Internal Audit, Evidence and the Questions Nobody Wrote Down</t>
        </is>
      </c>
    </row>
    <row r="13" ht="17" customHeight="1" s="38"/>
    <row r="15" ht="26" customHeight="1" s="38">
      <c r="B15" s="45" t="inlineStr">
        <is>
          <t>Companion to Book Two</t>
        </is>
      </c>
    </row>
    <row r="16" ht="16" customHeight="1" s="38">
      <c r="B16" s="46" t="inlineStr">
        <is>
          <t>The forms from the book, with the rules already written into the formulas.</t>
        </is>
      </c>
    </row>
    <row r="19" ht="6" customHeight="1" s="38">
      <c r="B19" s="47" t="n"/>
      <c r="C19" s="47" t="n"/>
      <c r="D19" s="47" t="n"/>
      <c r="E19" s="47" t="n"/>
      <c r="F19" s="47" t="n"/>
      <c r="G19" s="47" t="n"/>
      <c r="H19" s="47" t="n"/>
    </row>
    <row r="21" ht="18" customHeight="1" s="38">
      <c r="B21" s="48" t="inlineStr">
        <is>
          <t>REVISION</t>
        </is>
      </c>
      <c r="C21" s="49" t="inlineStr">
        <is>
          <t>v1.0  ·  NF-CW2</t>
        </is>
      </c>
    </row>
    <row r="22" ht="18" customHeight="1" s="38">
      <c r="B22" s="48" t="inlineStr">
        <is>
          <t>EDITION</t>
        </is>
      </c>
      <c r="C22" s="49" t="inlineStr">
        <is>
          <t>Current to the 2026 edition of ISO 9001</t>
        </is>
      </c>
    </row>
    <row r="23" ht="18" customHeight="1" s="38">
      <c r="B23" s="48" t="inlineStr">
        <is>
          <t>BASELINE</t>
        </is>
      </c>
      <c r="C23" s="49" t="inlineStr">
        <is>
          <t>Matches the first edition of the book (Editorial Baseline EBL-3.1)</t>
        </is>
      </c>
    </row>
    <row r="24" ht="18" customHeight="1" s="38">
      <c r="B24" s="48" t="inlineStr">
        <is>
          <t>ISSUED</t>
        </is>
      </c>
      <c r="C24" s="49" t="inlineStr">
        <is>
          <t>22 August 2026</t>
        </is>
      </c>
    </row>
    <row r="28" ht="22" customHeight="1" s="38">
      <c r="B28" s="50" t="inlineStr">
        <is>
          <t>Dan Bleigh</t>
        </is>
      </c>
    </row>
    <row r="29">
      <c r="B29" s="46"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69"/>
  <sheetViews>
    <sheetView showGridLines="0" tabSelected="0" topLeftCell="A1" workbookViewId="0">
      <selection activeCell="A1" sqref="A1"/>
    </sheetView>
  </sheetViews>
  <sheetFormatPr baseColWidth="8" defaultRowHeight="15"/>
  <cols>
    <col width="2.5" customWidth="1" style="38" min="1" max="1"/>
    <col width="13" customWidth="1" style="38" min="2" max="2"/>
    <col width="13" customWidth="1" style="38" min="3" max="3"/>
    <col width="13" customWidth="1" style="38" min="4" max="4"/>
    <col width="13" customWidth="1" style="38" min="5" max="5"/>
    <col width="13" customWidth="1" style="38" min="6" max="6"/>
    <col width="13" customWidth="1" style="38" min="7" max="7"/>
    <col width="13" customWidth="1" style="38" min="8" max="8"/>
    <col width="2.5" customWidth="1" style="38" min="9" max="9"/>
  </cols>
  <sheetData>
    <row r="2" ht="44" customHeight="1" s="38">
      <c r="E2" s="39" t="inlineStr">
        <is>
          <t>THE NORWOOD FILES</t>
        </is>
      </c>
      <c r="H2" s="40" t="inlineStr">
        <is>
          <t>NF-CW2  ·  v1.0</t>
        </is>
      </c>
    </row>
    <row r="3" ht="6" customHeight="1" s="38">
      <c r="B3" s="41" t="n"/>
      <c r="C3" s="41" t="n"/>
      <c r="D3" s="41" t="n"/>
      <c r="E3" s="41" t="n"/>
      <c r="F3" s="41" t="n"/>
      <c r="G3" s="41" t="n"/>
      <c r="H3" s="41" t="n"/>
    </row>
    <row r="5" ht="30" customHeight="1" s="38">
      <c r="B5" s="51" t="inlineStr">
        <is>
          <t>WELCOME</t>
        </is>
      </c>
    </row>
    <row r="7" ht="20" customHeight="1" s="38">
      <c r="B7" s="52" t="inlineStr">
        <is>
          <t>WHAT THIS COMPANION IS FOR</t>
        </is>
      </c>
    </row>
    <row r="8" ht="14" customHeight="1" s="38">
      <c r="B8" s="53" t="inlineStr">
        <is>
          <t>This workbook is the working half of Book Two of The Norwood Files. It carries the forms from the book with the rules already written into the formulas, so that the method can be run on a real process instead of read about. Its subject is building an internal audit programme from risk rather than from the table of contents: scheduling, trails, sampling, findings that survive appeal, and closure.</t>
        </is>
      </c>
    </row>
    <row r="9" ht="14" customHeight="1" s="38"/>
    <row r="10" ht="14" customHeight="1" s="38"/>
    <row r="11" ht="14" customHeight="1" s="38"/>
    <row r="12" ht="14" customHeight="1" s="38"/>
    <row r="14" ht="20" customHeight="1" s="38">
      <c r="B14" s="52" t="inlineStr">
        <is>
          <t>HOW TO USE IT</t>
        </is>
      </c>
    </row>
    <row r="15" ht="14" customHeight="1" s="38">
      <c r="B15" s="53"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6" ht="14" customHeight="1" s="38"/>
    <row r="17" ht="14" customHeight="1" s="38"/>
    <row r="18" ht="14" customHeight="1" s="38"/>
    <row r="20" ht="20" customHeight="1" s="38">
      <c r="B20" s="52" t="inlineStr">
        <is>
          <t>RELATIONSHIP WITH THE BOOK</t>
        </is>
      </c>
    </row>
    <row r="21" ht="14" customHeight="1" s="38">
      <c r="B21" s="53" t="inlineStr">
        <is>
          <t>The numbered sheets carry the same Form numbers as the book. Form 3 in the book is Form 3 in this file. The sheets prefixed EXAMPLE are the worked cases from the book, complete and populated, so that you can see how a row behaves before you clear it and start on your own process.</t>
        </is>
      </c>
    </row>
    <row r="22" ht="14" customHeight="1" s="38"/>
    <row r="23" ht="14" customHeight="1" s="38"/>
    <row r="24" ht="14" customHeight="1" s="38"/>
    <row r="26" ht="20" customHeight="1" s="38">
      <c r="B26" s="52" t="inlineStr">
        <is>
          <t>READING RECOMMENDATION</t>
        </is>
      </c>
    </row>
    <row r="27" ht="14" customHeight="1" s="38">
      <c r="B27" s="53"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8" ht="14" customHeight="1" s="38"/>
    <row r="29" ht="14" customHeight="1" s="38"/>
    <row r="30" ht="14" customHeight="1" s="38"/>
    <row r="32" ht="20" customHeight="1" s="38">
      <c r="B32" s="52" t="inlineStr">
        <is>
          <t>CONVENTIONS USED THROUGHOUT</t>
        </is>
      </c>
    </row>
    <row r="33" ht="15" customHeight="1" s="38">
      <c r="B33" s="54" t="inlineStr">
        <is>
          <t>·</t>
        </is>
      </c>
      <c r="C33" s="49" t="inlineStr">
        <is>
          <t>Blue text on cream — you type here.</t>
        </is>
      </c>
    </row>
    <row r="34" ht="15" customHeight="1" s="38">
      <c r="B34" s="54" t="inlineStr">
        <is>
          <t>·</t>
        </is>
      </c>
      <c r="C34" s="49" t="inlineStr">
        <is>
          <t>Black bold — calculated. Do not overwrite.</t>
        </is>
      </c>
    </row>
    <row r="35" ht="15" customHeight="1" s="38">
      <c r="B35" s="54" t="inlineStr">
        <is>
          <t>·</t>
        </is>
      </c>
      <c r="C35" s="49" t="inlineStr">
        <is>
          <t>Yellow fill — attention: a value that needs a decision.</t>
        </is>
      </c>
    </row>
    <row r="36" ht="15" customHeight="1" s="38">
      <c r="B36" s="54" t="inlineStr">
        <is>
          <t>·</t>
        </is>
      </c>
      <c r="C36" s="49" t="inlineStr">
        <is>
          <t>Red ■ — a fired trigger, or a finding. Red is never used for decoration.</t>
        </is>
      </c>
    </row>
    <row r="39" ht="20" customHeight="1" s="38">
      <c r="B39" s="52" t="inlineStr">
        <is>
          <t>THE SHEETS IN THIS WORKBOOK</t>
        </is>
      </c>
    </row>
    <row r="40" ht="18" customHeight="1" s="38">
      <c r="B40" s="55" t="inlineStr">
        <is>
          <t>SHEET</t>
        </is>
      </c>
      <c r="C40" s="55" t="inlineStr">
        <is>
          <t>PURPOSE</t>
        </is>
      </c>
      <c r="D40" s="56" t="n"/>
      <c r="E40" s="56" t="n"/>
      <c r="F40" s="56" t="n"/>
      <c r="G40" s="56" t="n"/>
      <c r="H40" s="56" t="n"/>
    </row>
    <row r="41" ht="24" customHeight="1" s="38">
      <c r="B41" s="57" t="inlineStr">
        <is>
          <t>START HERE</t>
        </is>
      </c>
      <c r="C41" s="58" t="inlineStr">
        <is>
          <t>Orientation, order of work and the cell conventions.</t>
        </is>
      </c>
      <c r="D41" s="47" t="n"/>
      <c r="E41" s="47" t="n"/>
      <c r="F41" s="47" t="n"/>
      <c r="G41" s="47" t="n"/>
      <c r="H41" s="47" t="n"/>
    </row>
    <row r="42" ht="28" customHeight="1" s="38">
      <c r="B42" s="57" t="inlineStr">
        <is>
          <t>Form 1 Audit Program</t>
        </is>
      </c>
      <c r="C42" s="58" t="inlineStr">
        <is>
          <t>The annual programme built from the register and the nonconformance log, with a “why now” against every row.</t>
        </is>
      </c>
      <c r="D42" s="47" t="n"/>
      <c r="E42" s="47" t="n"/>
      <c r="F42" s="47" t="n"/>
      <c r="G42" s="47" t="n"/>
      <c r="H42" s="47" t="n"/>
    </row>
    <row r="43" ht="28" customHeight="1" s="38">
      <c r="B43" s="57" t="inlineStr">
        <is>
          <t>Form 2 Audit Plan</t>
        </is>
      </c>
      <c r="C43" s="58" t="inlineStr">
        <is>
          <t>Scope, criteria and notice for a single audit.</t>
        </is>
      </c>
      <c r="D43" s="47" t="n"/>
      <c r="E43" s="47" t="n"/>
      <c r="F43" s="47" t="n"/>
      <c r="G43" s="47" t="n"/>
      <c r="H43" s="47" t="n"/>
    </row>
    <row r="44" ht="28" customHeight="1" s="38">
      <c r="B44" s="57" t="inlineStr">
        <is>
          <t>Form 3 Trail Record</t>
        </is>
      </c>
      <c r="C44" s="58" t="inlineStr">
        <is>
          <t>One item followed forward and backward, with the hole recorded where it is found.</t>
        </is>
      </c>
      <c r="D44" s="47" t="n"/>
      <c r="E44" s="47" t="n"/>
      <c r="F44" s="47" t="n"/>
      <c r="G44" s="47" t="n"/>
      <c r="H44" s="47" t="n"/>
    </row>
    <row r="45" ht="28" customHeight="1" s="38">
      <c r="B45" s="57" t="inlineStr">
        <is>
          <t>Form 4 Sample Record</t>
        </is>
      </c>
      <c r="C45" s="58" t="inlineStr">
        <is>
          <t>How the sample was chosen — written before the cabinet is opened.</t>
        </is>
      </c>
      <c r="D45" s="47" t="n"/>
      <c r="E45" s="47" t="n"/>
      <c r="F45" s="47" t="n"/>
      <c r="G45" s="47" t="n"/>
      <c r="H45" s="47" t="n"/>
    </row>
    <row r="46" ht="28" customHeight="1" s="38">
      <c r="B46" s="57" t="inlineStr">
        <is>
          <t>Form 5 Finding Register</t>
        </is>
      </c>
      <c r="C46" s="58" t="inlineStr">
        <is>
          <t>Requirement, evidence, gap. No name, no department, no recommendation.</t>
        </is>
      </c>
      <c r="D46" s="47" t="n"/>
      <c r="E46" s="47" t="n"/>
      <c r="F46" s="47" t="n"/>
      <c r="G46" s="47" t="n"/>
      <c r="H46" s="47" t="n"/>
    </row>
    <row r="47" ht="28" customHeight="1" s="38">
      <c r="B47" s="57" t="inlineStr">
        <is>
          <t>Form 6 Closure Verification</t>
        </is>
      </c>
      <c r="C47" s="58" t="inlineStr">
        <is>
          <t>Verified by somebody who is not the auditor and not the auditee.</t>
        </is>
      </c>
      <c r="D47" s="47" t="n"/>
      <c r="E47" s="47" t="n"/>
      <c r="F47" s="47" t="n"/>
      <c r="G47" s="47" t="n"/>
      <c r="H47" s="47" t="n"/>
    </row>
    <row r="48" ht="24" customHeight="1" s="38">
      <c r="B48" s="57" t="inlineStr">
        <is>
          <t>Dashboard</t>
        </is>
      </c>
      <c r="C48" s="58" t="inlineStr">
        <is>
          <t>Programme coverage and finding status.</t>
        </is>
      </c>
      <c r="D48" s="47" t="n"/>
      <c r="E48" s="47" t="n"/>
      <c r="F48" s="47" t="n"/>
      <c r="G48" s="47" t="n"/>
      <c r="H48" s="47" t="n"/>
    </row>
    <row r="49" ht="28" customHeight="1" s="38">
      <c r="B49" s="57" t="inlineStr">
        <is>
          <t>EXAMPLE A Goods-in</t>
        </is>
      </c>
      <c r="C49" s="58" t="inlineStr">
        <is>
          <t>Worked audit: goods-in and incoming verification. Complete, from the book.</t>
        </is>
      </c>
      <c r="D49" s="47" t="n"/>
      <c r="E49" s="47" t="n"/>
      <c r="F49" s="47" t="n"/>
      <c r="G49" s="47" t="n"/>
      <c r="H49" s="47" t="n"/>
    </row>
    <row r="50" ht="28" customHeight="1" s="38">
      <c r="B50" s="57" t="inlineStr">
        <is>
          <t>EXAMPLE B Machining cell</t>
        </is>
      </c>
      <c r="C50" s="58" t="inlineStr">
        <is>
          <t>Worked audit: a machining cell. Complete, from the book.</t>
        </is>
      </c>
      <c r="D50" s="47" t="n"/>
      <c r="E50" s="47" t="n"/>
      <c r="F50" s="47" t="n"/>
      <c r="G50" s="47" t="n"/>
      <c r="H50" s="47" t="n"/>
    </row>
    <row r="51" ht="39.5" customHeight="1" s="38">
      <c r="B51" s="57" t="inlineStr">
        <is>
          <t>EXAMPLE C Management review</t>
        </is>
      </c>
      <c r="C51" s="58" t="inlineStr">
        <is>
          <t>Worked audit: management review, audited upward. Complete, from the book.</t>
        </is>
      </c>
      <c r="D51" s="47" t="n"/>
      <c r="E51" s="47" t="n"/>
      <c r="F51" s="47" t="n"/>
      <c r="G51" s="47" t="n"/>
      <c r="H51" s="47" t="n"/>
    </row>
    <row r="52" ht="24" customHeight="1" s="38">
      <c r="B52" s="57" t="inlineStr">
        <is>
          <t>About</t>
        </is>
      </c>
      <c r="C52" s="58" t="inlineStr">
        <is>
          <t>Instrument identity, document code and control status.</t>
        </is>
      </c>
      <c r="D52" s="47" t="n"/>
      <c r="E52" s="47" t="n"/>
      <c r="F52" s="47" t="n"/>
      <c r="G52" s="47" t="n"/>
      <c r="H52" s="47" t="n"/>
    </row>
    <row r="55" ht="20" customHeight="1" s="38">
      <c r="B55" s="52" t="inlineStr">
        <is>
          <t>OFFICIAL COMPANION RESOURCES</t>
        </is>
      </c>
    </row>
    <row r="56" ht="13" customHeight="1" s="38">
      <c r="B56" s="59" t="inlineStr">
        <is>
          <t>The official repository holds this workbook, the other Companions in the series, and any corrected or updated revisions. There is nothing to sign up for and no address to leave.</t>
        </is>
      </c>
    </row>
    <row r="57" ht="13" customHeight="1" s="38"/>
    <row r="58" ht="13" customHeight="1" s="38"/>
    <row r="60" ht="13" customHeight="1" s="38">
      <c r="B60" s="60" t="inlineStr">
        <is>
          <t>‹ PH-01 · Companion download address — to be inserted before publication. NF-CIP §5. ›</t>
        </is>
      </c>
    </row>
    <row r="61" ht="13" customHeight="1" s="38"/>
    <row r="63" ht="15" customHeight="1" s="38">
      <c r="B63" s="61" t="inlineStr">
        <is>
          <t>QR CODE
RESERVED
‹ PH-02 ›</t>
        </is>
      </c>
      <c r="C63" s="62" t="n"/>
      <c r="E63" s="63"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4" ht="15" customHeight="1" s="38">
      <c r="B64" s="62" t="n"/>
      <c r="C64" s="62" t="n"/>
    </row>
    <row r="65" ht="15" customHeight="1" s="38">
      <c r="B65" s="62" t="n"/>
      <c r="C65" s="62" t="n"/>
    </row>
    <row r="66" ht="15" customHeight="1" s="38">
      <c r="B66" s="62" t="n"/>
      <c r="C66" s="62" t="n"/>
    </row>
    <row r="67" ht="15" customHeight="1" s="38">
      <c r="B67" s="62" t="n"/>
      <c r="C67" s="62" t="n"/>
    </row>
    <row r="68" ht="15" customHeight="1" s="38">
      <c r="B68" s="62" t="n"/>
      <c r="C68" s="62" t="n"/>
    </row>
    <row r="69" ht="15" customHeight="1" s="38">
      <c r="B69" s="62" t="n"/>
      <c r="C69" s="62" t="n"/>
    </row>
  </sheetData>
  <sheetProtection selectLockedCells="0" selectUnlockedCells="0" sheet="1" objects="0" insertRows="1" insertHyperlinks="1" autoFilter="1" scenarios="0" formatColumns="1" deleteColumns="1" insertColumns="1" pivotTables="1" deleteRows="1" formatCells="1" formatRows="1" sort="1"/>
  <mergeCells count="25">
    <mergeCell ref="C41:H41"/>
    <mergeCell ref="C47:H47"/>
    <mergeCell ref="C50:H50"/>
    <mergeCell ref="C44:H44"/>
    <mergeCell ref="C40:H40"/>
    <mergeCell ref="B21:H24"/>
    <mergeCell ref="C43:H43"/>
    <mergeCell ref="B63:C69"/>
    <mergeCell ref="B27:H30"/>
    <mergeCell ref="C46:H46"/>
    <mergeCell ref="C51:H51"/>
    <mergeCell ref="C36:H36"/>
    <mergeCell ref="C52:H52"/>
    <mergeCell ref="C48:H48"/>
    <mergeCell ref="B60:H61"/>
    <mergeCell ref="B56:H58"/>
    <mergeCell ref="C49:H49"/>
    <mergeCell ref="C34:H34"/>
    <mergeCell ref="B15:H18"/>
    <mergeCell ref="C33:H33"/>
    <mergeCell ref="C42:H42"/>
    <mergeCell ref="E63:H69"/>
    <mergeCell ref="B8:H12"/>
    <mergeCell ref="C45:H45"/>
    <mergeCell ref="C35:H35"/>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38" min="1" max="1"/>
    <col width="13" customWidth="1" style="38" min="2" max="2"/>
    <col width="13" customWidth="1" style="38" min="3" max="3"/>
    <col width="13" customWidth="1" style="38" min="4" max="4"/>
    <col width="13" customWidth="1" style="38" min="5" max="5"/>
    <col width="13" customWidth="1" style="38" min="6" max="6"/>
    <col width="13" customWidth="1" style="38" min="7" max="7"/>
    <col width="13" customWidth="1" style="38" min="8" max="8"/>
    <col width="2.5" customWidth="1" style="38" min="9" max="9"/>
  </cols>
  <sheetData>
    <row r="2" ht="44" customHeight="1" s="38">
      <c r="E2" s="39" t="inlineStr">
        <is>
          <t>THE NORWOOD FILES</t>
        </is>
      </c>
      <c r="H2" s="40" t="inlineStr">
        <is>
          <t>NF-CW2  ·  v1.0</t>
        </is>
      </c>
    </row>
    <row r="3" ht="6" customHeight="1" s="38">
      <c r="B3" s="41" t="n"/>
      <c r="C3" s="41" t="n"/>
      <c r="D3" s="41" t="n"/>
      <c r="E3" s="41" t="n"/>
      <c r="F3" s="41" t="n"/>
      <c r="G3" s="41" t="n"/>
      <c r="H3" s="41" t="n"/>
    </row>
    <row r="5" ht="30" customHeight="1" s="38">
      <c r="B5" s="51" t="inlineStr">
        <is>
          <t>LICENCE AND VERSION</t>
        </is>
      </c>
    </row>
    <row r="7" ht="20" customHeight="1" s="38">
      <c r="B7" s="52" t="inlineStr">
        <is>
          <t>PUBLICATION INFORMATION</t>
        </is>
      </c>
    </row>
    <row r="8" ht="19" customHeight="1" s="38">
      <c r="B8" s="64" t="inlineStr">
        <is>
          <t>PRODUCT</t>
        </is>
      </c>
      <c r="C8" s="47" t="n"/>
      <c r="D8" s="65" t="inlineStr">
        <is>
          <t>Official Companion Workbook</t>
        </is>
      </c>
      <c r="E8" s="47" t="n"/>
      <c r="F8" s="47" t="n"/>
      <c r="G8" s="47" t="n"/>
      <c r="H8" s="47" t="n"/>
    </row>
    <row r="9" ht="19" customHeight="1" s="38">
      <c r="B9" s="64" t="inlineStr">
        <is>
          <t>TITLE</t>
        </is>
      </c>
      <c r="C9" s="47" t="n"/>
      <c r="D9" s="65" t="inlineStr">
        <is>
          <t>The Norwood Files — Companion to Book Two</t>
        </is>
      </c>
      <c r="E9" s="47" t="n"/>
      <c r="F9" s="47" t="n"/>
      <c r="G9" s="47" t="n"/>
      <c r="H9" s="47" t="n"/>
    </row>
    <row r="10" ht="19" customHeight="1" s="38">
      <c r="B10" s="64" t="inlineStr">
        <is>
          <t>COMPANION TO</t>
        </is>
      </c>
      <c r="C10" s="47" t="n"/>
      <c r="D10" s="65" t="inlineStr">
        <is>
          <t>Nothing to Report</t>
        </is>
      </c>
      <c r="E10" s="47" t="n"/>
      <c r="F10" s="47" t="n"/>
      <c r="G10" s="47" t="n"/>
      <c r="H10" s="47" t="n"/>
    </row>
    <row r="11" ht="19" customHeight="1" s="38">
      <c r="B11" s="64" t="inlineStr">
        <is>
          <t>DOCUMENT CODE</t>
        </is>
      </c>
      <c r="C11" s="47" t="n"/>
      <c r="D11" s="65" t="inlineStr">
        <is>
          <t>NF-CW2</t>
        </is>
      </c>
      <c r="E11" s="47" t="n"/>
      <c r="F11" s="47" t="n"/>
      <c r="G11" s="47" t="n"/>
      <c r="H11" s="47" t="n"/>
    </row>
    <row r="12" ht="19" customHeight="1" s="38">
      <c r="B12" s="64" t="inlineStr">
        <is>
          <t>REVISION</t>
        </is>
      </c>
      <c r="C12" s="47" t="n"/>
      <c r="D12" s="65" t="inlineStr">
        <is>
          <t>v1.0</t>
        </is>
      </c>
      <c r="E12" s="47" t="n"/>
      <c r="F12" s="47" t="n"/>
      <c r="G12" s="47" t="n"/>
      <c r="H12" s="47" t="n"/>
    </row>
    <row r="13" ht="19" customHeight="1" s="38">
      <c r="B13" s="64" t="inlineStr">
        <is>
          <t>PUBLICATION VERSION</t>
        </is>
      </c>
      <c r="C13" s="47" t="n"/>
      <c r="D13" s="65" t="inlineStr">
        <is>
          <t>v1.0  ·  issued 22 August 2026</t>
        </is>
      </c>
      <c r="E13" s="47" t="n"/>
      <c r="F13" s="47" t="n"/>
      <c r="G13" s="47" t="n"/>
      <c r="H13" s="47" t="n"/>
    </row>
    <row r="14" ht="19" customHeight="1" s="38">
      <c r="B14" s="64" t="inlineStr">
        <is>
          <t>EDITION</t>
        </is>
      </c>
      <c r="C14" s="47" t="n"/>
      <c r="D14" s="65" t="inlineStr">
        <is>
          <t>Current to the 2026 edition of ISO 9001</t>
        </is>
      </c>
      <c r="E14" s="47" t="n"/>
      <c r="F14" s="47" t="n"/>
      <c r="G14" s="47" t="n"/>
      <c r="H14" s="47" t="n"/>
    </row>
    <row r="15" ht="19" customHeight="1" s="38">
      <c r="B15" s="64" t="inlineStr">
        <is>
          <t>EDITORIAL BASELINE</t>
        </is>
      </c>
      <c r="C15" s="47" t="n"/>
      <c r="D15" s="65" t="inlineStr">
        <is>
          <t>EBL-3.1</t>
        </is>
      </c>
      <c r="E15" s="47" t="n"/>
      <c r="F15" s="47" t="n"/>
      <c r="G15" s="47" t="n"/>
      <c r="H15" s="47" t="n"/>
    </row>
    <row r="16" ht="19" customHeight="1" s="38">
      <c r="B16" s="64" t="inlineStr">
        <is>
          <t>IDENTITY</t>
        </is>
      </c>
      <c r="C16" s="47" t="n"/>
      <c r="D16" s="65" t="inlineStr">
        <is>
          <t>Norwood Brand Standards Manual v1.0</t>
        </is>
      </c>
      <c r="E16" s="47" t="n"/>
      <c r="F16" s="47" t="n"/>
      <c r="G16" s="47" t="n"/>
      <c r="H16" s="47" t="n"/>
    </row>
    <row r="17" ht="19" customHeight="1" s="38">
      <c r="B17" s="64" t="inlineStr">
        <is>
          <t>AUTHOR</t>
        </is>
      </c>
      <c r="C17" s="47" t="n"/>
      <c r="D17" s="65" t="inlineStr">
        <is>
          <t>Dan Bleigh</t>
        </is>
      </c>
      <c r="E17" s="47" t="n"/>
      <c r="F17" s="47" t="n"/>
      <c r="G17" s="47" t="n"/>
      <c r="H17" s="47" t="n"/>
    </row>
    <row r="20" ht="20" customHeight="1" s="38">
      <c r="B20" s="52" t="inlineStr">
        <is>
          <t>REPOSITORY</t>
        </is>
      </c>
    </row>
    <row r="21" ht="16" customHeight="1" s="38">
      <c r="B21" s="52" t="inlineStr">
        <is>
          <t>‹ PH-01 · Companion download address — to be inserted before publication. NF-CIP §5. ›</t>
        </is>
      </c>
    </row>
    <row r="23" ht="20" customHeight="1" s="38">
      <c r="B23" s="52" t="inlineStr">
        <is>
          <t>TERMS OF USE</t>
        </is>
      </c>
    </row>
    <row r="24" ht="13" customHeight="1" s="38">
      <c r="B24" s="66" t="inlineStr">
        <is>
          <t>Copyright © 2026 Dan Bleigh. All rights reserved.</t>
        </is>
      </c>
    </row>
    <row r="25" ht="13" customHeight="1" s="38"/>
    <row r="27" ht="13" customHeight="1" s="38">
      <c r="B27" s="66" t="inlineStr">
        <is>
          <t>This workbook accompanies Nothing to Report and is supplied free of charge with the book. You may use it, adapt it and reproduce it inside your own organization for your own quality management system.</t>
        </is>
      </c>
    </row>
    <row r="28" ht="13" customHeight="1" s="38"/>
    <row r="29" ht="13" customHeight="1" s="38"/>
    <row r="31" ht="13" customHeight="1" s="38">
      <c r="B31" s="66" t="inlineStr">
        <is>
          <t>You may not resell it, redistribute it as your own work, or present it as a certified or accredited document.</t>
        </is>
      </c>
    </row>
    <row r="32" ht="13" customHeight="1" s="38"/>
    <row r="34" ht="13" customHeight="1" s="38">
      <c r="B34" s="66" t="inlineStr">
        <is>
          <t>The forms are offered as general professional guidance. They do not constitute legal, regulatory, safety or certification advice, and no warranty is given as to any particular audit outcome.</t>
        </is>
      </c>
    </row>
    <row r="35" ht="13" customHeight="1" s="38"/>
    <row r="36" ht="13" customHeight="1" s="38"/>
    <row r="38" ht="13" customHeight="1" s="38">
      <c r="B38" s="66"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38"/>
    <row r="40" ht="13" customHeight="1" s="38"/>
    <row r="41" ht="13" customHeight="1" s="38"/>
    <row r="44">
      <c r="B44" s="47" t="n"/>
      <c r="C44" s="47" t="n"/>
      <c r="D44" s="47" t="n"/>
      <c r="E44" s="47" t="n"/>
      <c r="F44" s="47" t="n"/>
      <c r="G44" s="47" t="n"/>
      <c r="H44" s="47" t="n"/>
    </row>
    <row r="46">
      <c r="B46" s="67"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68" min="1" max="1"/>
    <col width="96" customWidth="1" style="68" min="2" max="2"/>
  </cols>
  <sheetData>
    <row r="1" ht="25.5" customHeight="1" s="38">
      <c r="A1" s="69" t="inlineStr">
        <is>
          <t>NOTHING TO REPORT—COMPANION WORKBOOK</t>
        </is>
      </c>
    </row>
    <row r="2" ht="15.75" customHeight="1" s="38">
      <c r="A2" s="70" t="inlineStr">
        <is>
          <t>The forms from Part 3. Free, no sign-up. Everything here is also printed in the book.</t>
        </is>
      </c>
    </row>
    <row r="3"/>
    <row r="4" ht="15" customHeight="1" s="38">
      <c r="A4" s="71" t="inlineStr">
        <is>
          <t>WHAT THIS IS</t>
        </is>
      </c>
    </row>
    <row r="5" ht="25.5" customHeight="1" s="38">
      <c r="B5" s="72" t="inlineStr">
        <is>
          <t>The audit program, plan, trail record, sample record, finding register and closure verification from Part 3, plus the three worked audits from Part 2.</t>
        </is>
      </c>
    </row>
    <row r="6" ht="25.5" customHeight="1" s="38">
      <c r="B6" s="72" t="inlineStr">
        <is>
          <t>Nothing in the book depends on this file. Every form is printed in full and can be photocopied. This exists because a finding register kept on paper is how findings get lost.</t>
        </is>
      </c>
    </row>
    <row r="7" ht="15" customHeight="1" s="38">
      <c r="A7" s="71" t="inlineStr">
        <is>
          <t>ORDER OF WORK</t>
        </is>
      </c>
    </row>
    <row r="8" ht="39" customHeight="1" s="38">
      <c r="B8" s="72" t="inlineStr">
        <is>
          <t>1.  Build 'Form 1 Audit Program' from your process flow, your risk register and your nonconformance log. Not from the clauses. The 'why now' column is the one an external auditor asks about.</t>
        </is>
      </c>
    </row>
    <row r="9" ht="25.5" customHeight="1" s="38">
      <c r="B9" s="72" t="inlineStr">
        <is>
          <t>2.  For each audit, complete 'Form 2 Audit Plan' BEFORE you open anything. The sample design goes in the plan, not at the cabinet.</t>
        </is>
      </c>
    </row>
    <row r="10" ht="15" customHeight="1" s="38">
      <c r="B10" s="72" t="inlineStr">
        <is>
          <t>3.  Use 'Form 3 Trail Record' on the floor. One unit, forward and backward.</t>
        </is>
      </c>
    </row>
    <row r="11" ht="25.5" customHeight="1" s="38">
      <c r="B11" s="72" t="inlineStr">
        <is>
          <t>4.  Every finding goes on 'Form 5 Finding Register' in three parts: requirement, evidence, gap. No name, no department, no recommendation.</t>
        </is>
      </c>
    </row>
    <row r="12" ht="25.5" customHeight="1" s="38">
      <c r="B12" s="72" t="inlineStr">
        <is>
          <t>5.  'Form 6 Closure Verification' is completed by somebody other than the person who raised the finding. The register flags it if they are the same.</t>
        </is>
      </c>
    </row>
    <row r="13" ht="15" customHeight="1" s="38">
      <c r="A13" s="71" t="inlineStr">
        <is>
          <t>WHAT THE FILE ENFORCES</t>
        </is>
      </c>
    </row>
    <row r="14" ht="39" customHeight="1" s="38">
      <c r="B14" s="72" t="inlineStr">
        <is>
          <t>The audit program calculates the next due date from the frequency and turns red when an audit is late. The finding register counts days open and flags anything self-verified. Neither of those is administration—they are the two ways an audit program quietly dies.</t>
        </is>
      </c>
    </row>
    <row r="15" ht="15" customHeight="1" s="38">
      <c r="A15" s="71" t="inlineStr">
        <is>
          <t>CAPACITY</t>
        </is>
      </c>
    </row>
    <row r="16" ht="25.5" customHeight="1" s="38">
      <c r="B16" s="72" t="inlineStr">
        <is>
          <t>60 audits in the program, 300 findings in the register. Formulas are already in place on every row, so type into the next empty line and everything recalculates. Blank rows stay blank.</t>
        </is>
      </c>
    </row>
    <row r="17" ht="15" customHeight="1" s="38">
      <c r="A17" s="71" t="inlineStr">
        <is>
          <t>THE EXAMPLES</t>
        </is>
      </c>
    </row>
    <row r="18" ht="39" customHeight="1" s="38">
      <c r="B18" s="72" t="inlineStr">
        <is>
          <t>The three sheets prefixed EXAMPLE are the worked audits from Part 2—the plan, the sample design and every finding. Read the one closest to what you have been asked to audit, then work in the blank forms. An audit program copied from this file audits somebody else’s plant.</t>
        </is>
      </c>
    </row>
    <row r="19" ht="15" customHeight="1" s="38">
      <c r="A19" s="71" t="inlineStr">
        <is>
          <t>CELL COLORS</t>
        </is>
      </c>
    </row>
    <row r="20" ht="15" customHeight="1" s="38">
      <c r="B20" s="72" t="inlineStr">
        <is>
          <t>Blue text on cream = you type here.  Black bold = calculated, do not overwrite.</t>
        </is>
      </c>
    </row>
    <row r="21"/>
    <row r="22" ht="15" customHeight="1" s="38">
      <c r="A22" s="73" t="inlineStr">
        <is>
          <t>The Norwood Files · Companion to Book Two · v1.0 · issued 22 August 2026 · matches the first edition (Editorial Baseline EBL-3.1)</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H6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68" min="1" max="1"/>
    <col width="28" customWidth="1" style="68" min="2" max="2"/>
    <col width="40" customWidth="1" style="68" min="3" max="3"/>
    <col width="14" customWidth="1" style="68" min="4" max="7"/>
    <col width="16" customWidth="1" style="68" min="8" max="8"/>
  </cols>
  <sheetData>
    <row r="1" ht="25.5" customHeight="1" s="38">
      <c r="A1" s="69" t="inlineStr">
        <is>
          <t>AUDIT PROGRAM</t>
        </is>
      </c>
    </row>
    <row r="2" ht="15.75" customHeight="1" s="38">
      <c r="A2" s="70" t="inlineStr">
        <is>
          <t>Built from the process flow, the risk register and the nonconformance log—not from the clauses.</t>
        </is>
      </c>
    </row>
    <row r="3"/>
    <row r="4" ht="30" customHeight="1" s="38">
      <c r="A4" s="74" t="inlineStr">
        <is>
          <t>Ref</t>
        </is>
      </c>
      <c r="B4" s="74" t="inlineStr">
        <is>
          <t>Process audited</t>
        </is>
      </c>
      <c r="C4" s="74" t="inlineStr">
        <is>
          <t>Why now</t>
        </is>
      </c>
      <c r="D4" s="74" t="inlineStr">
        <is>
          <t>Frequency</t>
        </is>
      </c>
      <c r="E4" s="74" t="inlineStr">
        <is>
          <t>Last audited</t>
        </is>
      </c>
      <c r="F4" s="74" t="inlineStr">
        <is>
          <t>Next due</t>
        </is>
      </c>
      <c r="G4" s="74" t="inlineStr">
        <is>
          <t>Status</t>
        </is>
      </c>
      <c r="H4" s="74" t="inlineStr">
        <is>
          <t>Auditor</t>
        </is>
      </c>
    </row>
    <row r="5" ht="27.75" customHeight="1" s="38">
      <c r="A5" s="75" t="n"/>
      <c r="B5" s="76" t="n"/>
      <c r="C5" s="76" t="n"/>
      <c r="D5" s="75" t="n"/>
      <c r="E5" s="77" t="n"/>
      <c r="F5" s="78">
        <f>IF(OR(NOT(ISNUMBER(E5)),D5="",D5="On event"),"",EDATE(E5,IF(D5="6 months",6,12)))</f>
        <v/>
      </c>
      <c r="G5" s="79">
        <f>IF(NOT(ISNUMBER(F5)),"",IF(F5&lt;TODAY(),"OVERDUE",IF(F5&lt;TODAY()+30,"DUE SOON","OK")))</f>
        <v/>
      </c>
      <c r="H5" s="76" t="n"/>
    </row>
    <row r="6" ht="27.75" customHeight="1" s="38">
      <c r="A6" s="80" t="n"/>
      <c r="B6" s="81" t="n"/>
      <c r="C6" s="81" t="n"/>
      <c r="D6" s="80" t="n"/>
      <c r="E6" s="82" t="n"/>
      <c r="F6" s="78">
        <f>IF(OR(NOT(ISNUMBER(E6)),D6="",D6="On event"),"",EDATE(E6,IF(D6="6 months",6,12)))</f>
        <v/>
      </c>
      <c r="G6" s="79">
        <f>IF(NOT(ISNUMBER(F6)),"",IF(F6&lt;TODAY(),"OVERDUE",IF(F6&lt;TODAY()+30,"DUE SOON","OK")))</f>
        <v/>
      </c>
      <c r="H6" s="81" t="n"/>
    </row>
    <row r="7" ht="27.75" customHeight="1" s="38">
      <c r="A7" s="75" t="n"/>
      <c r="B7" s="76" t="n"/>
      <c r="C7" s="76" t="n"/>
      <c r="D7" s="75" t="n"/>
      <c r="E7" s="77" t="n"/>
      <c r="F7" s="78">
        <f>IF(OR(NOT(ISNUMBER(E7)),D7="",D7="On event"),"",EDATE(E7,IF(D7="6 months",6,12)))</f>
        <v/>
      </c>
      <c r="G7" s="79">
        <f>IF(NOT(ISNUMBER(F7)),"",IF(F7&lt;TODAY(),"OVERDUE",IF(F7&lt;TODAY()+30,"DUE SOON","OK")))</f>
        <v/>
      </c>
      <c r="H7" s="76" t="n"/>
    </row>
    <row r="8" ht="27.75" customHeight="1" s="38">
      <c r="A8" s="80" t="n"/>
      <c r="B8" s="81" t="n"/>
      <c r="C8" s="81" t="n"/>
      <c r="D8" s="80" t="n"/>
      <c r="E8" s="82" t="n"/>
      <c r="F8" s="78">
        <f>IF(OR(NOT(ISNUMBER(E8)),D8="",D8="On event"),"",EDATE(E8,IF(D8="6 months",6,12)))</f>
        <v/>
      </c>
      <c r="G8" s="79">
        <f>IF(NOT(ISNUMBER(F8)),"",IF(F8&lt;TODAY(),"OVERDUE",IF(F8&lt;TODAY()+30,"DUE SOON","OK")))</f>
        <v/>
      </c>
      <c r="H8" s="81" t="n"/>
    </row>
    <row r="9" ht="27.75" customHeight="1" s="38">
      <c r="A9" s="75" t="n"/>
      <c r="B9" s="76" t="n"/>
      <c r="C9" s="76" t="n"/>
      <c r="D9" s="75" t="n"/>
      <c r="E9" s="77" t="n"/>
      <c r="F9" s="78">
        <f>IF(OR(NOT(ISNUMBER(E9)),D9="",D9="On event"),"",EDATE(E9,IF(D9="6 months",6,12)))</f>
        <v/>
      </c>
      <c r="G9" s="79">
        <f>IF(NOT(ISNUMBER(F9)),"",IF(F9&lt;TODAY(),"OVERDUE",IF(F9&lt;TODAY()+30,"DUE SOON","OK")))</f>
        <v/>
      </c>
      <c r="H9" s="76" t="n"/>
    </row>
    <row r="10" ht="27.75" customHeight="1" s="38">
      <c r="A10" s="80" t="n"/>
      <c r="B10" s="81" t="n"/>
      <c r="C10" s="81" t="n"/>
      <c r="D10" s="80" t="n"/>
      <c r="E10" s="82" t="n"/>
      <c r="F10" s="78">
        <f>IF(OR(NOT(ISNUMBER(E10)),D10="",D10="On event"),"",EDATE(E10,IF(D10="6 months",6,12)))</f>
        <v/>
      </c>
      <c r="G10" s="79">
        <f>IF(NOT(ISNUMBER(F10)),"",IF(F10&lt;TODAY(),"OVERDUE",IF(F10&lt;TODAY()+30,"DUE SOON","OK")))</f>
        <v/>
      </c>
      <c r="H10" s="81" t="n"/>
    </row>
    <row r="11" ht="27.75" customHeight="1" s="38">
      <c r="A11" s="75" t="n"/>
      <c r="B11" s="76" t="n"/>
      <c r="C11" s="76" t="n"/>
      <c r="D11" s="75" t="n"/>
      <c r="E11" s="77" t="n"/>
      <c r="F11" s="78">
        <f>IF(OR(NOT(ISNUMBER(E11)),D11="",D11="On event"),"",EDATE(E11,IF(D11="6 months",6,12)))</f>
        <v/>
      </c>
      <c r="G11" s="79">
        <f>IF(NOT(ISNUMBER(F11)),"",IF(F11&lt;TODAY(),"OVERDUE",IF(F11&lt;TODAY()+30,"DUE SOON","OK")))</f>
        <v/>
      </c>
      <c r="H11" s="76" t="n"/>
    </row>
    <row r="12" ht="27.75" customHeight="1" s="38">
      <c r="A12" s="80" t="n"/>
      <c r="B12" s="81" t="n"/>
      <c r="C12" s="81" t="n"/>
      <c r="D12" s="80" t="n"/>
      <c r="E12" s="82" t="n"/>
      <c r="F12" s="78">
        <f>IF(OR(NOT(ISNUMBER(E12)),D12="",D12="On event"),"",EDATE(E12,IF(D12="6 months",6,12)))</f>
        <v/>
      </c>
      <c r="G12" s="79">
        <f>IF(NOT(ISNUMBER(F12)),"",IF(F12&lt;TODAY(),"OVERDUE",IF(F12&lt;TODAY()+30,"DUE SOON","OK")))</f>
        <v/>
      </c>
      <c r="H12" s="81" t="n"/>
    </row>
    <row r="13" ht="27.75" customHeight="1" s="38">
      <c r="A13" s="75" t="n"/>
      <c r="B13" s="76" t="n"/>
      <c r="C13" s="76" t="n"/>
      <c r="D13" s="75" t="n"/>
      <c r="E13" s="77" t="n"/>
      <c r="F13" s="78">
        <f>IF(OR(NOT(ISNUMBER(E13)),D13="",D13="On event"),"",EDATE(E13,IF(D13="6 months",6,12)))</f>
        <v/>
      </c>
      <c r="G13" s="79">
        <f>IF(NOT(ISNUMBER(F13)),"",IF(F13&lt;TODAY(),"OVERDUE",IF(F13&lt;TODAY()+30,"DUE SOON","OK")))</f>
        <v/>
      </c>
      <c r="H13" s="76" t="n"/>
    </row>
    <row r="14" ht="27.75" customHeight="1" s="38">
      <c r="A14" s="80" t="n"/>
      <c r="B14" s="81" t="n"/>
      <c r="C14" s="81" t="n"/>
      <c r="D14" s="80" t="n"/>
      <c r="E14" s="82" t="n"/>
      <c r="F14" s="78">
        <f>IF(OR(NOT(ISNUMBER(E14)),D14="",D14="On event"),"",EDATE(E14,IF(D14="6 months",6,12)))</f>
        <v/>
      </c>
      <c r="G14" s="79">
        <f>IF(NOT(ISNUMBER(F14)),"",IF(F14&lt;TODAY(),"OVERDUE",IF(F14&lt;TODAY()+30,"DUE SOON","OK")))</f>
        <v/>
      </c>
      <c r="H14" s="81" t="n"/>
    </row>
    <row r="15" ht="27.75" customHeight="1" s="38">
      <c r="A15" s="75" t="n"/>
      <c r="B15" s="76" t="n"/>
      <c r="C15" s="76" t="n"/>
      <c r="D15" s="75" t="n"/>
      <c r="E15" s="77" t="n"/>
      <c r="F15" s="78">
        <f>IF(OR(NOT(ISNUMBER(E15)),D15="",D15="On event"),"",EDATE(E15,IF(D15="6 months",6,12)))</f>
        <v/>
      </c>
      <c r="G15" s="79">
        <f>IF(NOT(ISNUMBER(F15)),"",IF(F15&lt;TODAY(),"OVERDUE",IF(F15&lt;TODAY()+30,"DUE SOON","OK")))</f>
        <v/>
      </c>
      <c r="H15" s="76" t="n"/>
    </row>
    <row r="16" ht="27.75" customHeight="1" s="38">
      <c r="A16" s="80" t="n"/>
      <c r="B16" s="81" t="n"/>
      <c r="C16" s="81" t="n"/>
      <c r="D16" s="80" t="n"/>
      <c r="E16" s="82" t="n"/>
      <c r="F16" s="78">
        <f>IF(OR(NOT(ISNUMBER(E16)),D16="",D16="On event"),"",EDATE(E16,IF(D16="6 months",6,12)))</f>
        <v/>
      </c>
      <c r="G16" s="79">
        <f>IF(NOT(ISNUMBER(F16)),"",IF(F16&lt;TODAY(),"OVERDUE",IF(F16&lt;TODAY()+30,"DUE SOON","OK")))</f>
        <v/>
      </c>
      <c r="H16" s="81" t="n"/>
    </row>
    <row r="17" ht="27.75" customHeight="1" s="38">
      <c r="A17" s="75" t="n"/>
      <c r="B17" s="76" t="n"/>
      <c r="C17" s="76" t="n"/>
      <c r="D17" s="75" t="n"/>
      <c r="E17" s="77" t="n"/>
      <c r="F17" s="78">
        <f>IF(OR(NOT(ISNUMBER(E17)),D17="",D17="On event"),"",EDATE(E17,IF(D17="6 months",6,12)))</f>
        <v/>
      </c>
      <c r="G17" s="79">
        <f>IF(NOT(ISNUMBER(F17)),"",IF(F17&lt;TODAY(),"OVERDUE",IF(F17&lt;TODAY()+30,"DUE SOON","OK")))</f>
        <v/>
      </c>
      <c r="H17" s="76" t="n"/>
    </row>
    <row r="18" ht="27.75" customHeight="1" s="38">
      <c r="A18" s="80" t="n"/>
      <c r="B18" s="81" t="n"/>
      <c r="C18" s="81" t="n"/>
      <c r="D18" s="80" t="n"/>
      <c r="E18" s="82" t="n"/>
      <c r="F18" s="78">
        <f>IF(OR(NOT(ISNUMBER(E18)),D18="",D18="On event"),"",EDATE(E18,IF(D18="6 months",6,12)))</f>
        <v/>
      </c>
      <c r="G18" s="79">
        <f>IF(NOT(ISNUMBER(F18)),"",IF(F18&lt;TODAY(),"OVERDUE",IF(F18&lt;TODAY()+30,"DUE SOON","OK")))</f>
        <v/>
      </c>
      <c r="H18" s="81" t="n"/>
    </row>
    <row r="19" ht="27.75" customHeight="1" s="38">
      <c r="A19" s="75" t="n"/>
      <c r="B19" s="76" t="n"/>
      <c r="C19" s="76" t="n"/>
      <c r="D19" s="75" t="n"/>
      <c r="E19" s="77" t="n"/>
      <c r="F19" s="78">
        <f>IF(OR(NOT(ISNUMBER(E19)),D19="",D19="On event"),"",EDATE(E19,IF(D19="6 months",6,12)))</f>
        <v/>
      </c>
      <c r="G19" s="79">
        <f>IF(NOT(ISNUMBER(F19)),"",IF(F19&lt;TODAY(),"OVERDUE",IF(F19&lt;TODAY()+30,"DUE SOON","OK")))</f>
        <v/>
      </c>
      <c r="H19" s="76" t="n"/>
    </row>
    <row r="20" ht="27.75" customHeight="1" s="38">
      <c r="A20" s="80" t="n"/>
      <c r="B20" s="81" t="n"/>
      <c r="C20" s="81" t="n"/>
      <c r="D20" s="80" t="n"/>
      <c r="E20" s="82" t="n"/>
      <c r="F20" s="78">
        <f>IF(OR(NOT(ISNUMBER(E20)),D20="",D20="On event"),"",EDATE(E20,IF(D20="6 months",6,12)))</f>
        <v/>
      </c>
      <c r="G20" s="79">
        <f>IF(NOT(ISNUMBER(F20)),"",IF(F20&lt;TODAY(),"OVERDUE",IF(F20&lt;TODAY()+30,"DUE SOON","OK")))</f>
        <v/>
      </c>
      <c r="H20" s="81" t="n"/>
    </row>
    <row r="21" ht="27.75" customHeight="1" s="38">
      <c r="A21" s="75" t="n"/>
      <c r="B21" s="76" t="n"/>
      <c r="C21" s="76" t="n"/>
      <c r="D21" s="75" t="n"/>
      <c r="E21" s="77" t="n"/>
      <c r="F21" s="78">
        <f>IF(OR(NOT(ISNUMBER(E21)),D21="",D21="On event"),"",EDATE(E21,IF(D21="6 months",6,12)))</f>
        <v/>
      </c>
      <c r="G21" s="79">
        <f>IF(NOT(ISNUMBER(F21)),"",IF(F21&lt;TODAY(),"OVERDUE",IF(F21&lt;TODAY()+30,"DUE SOON","OK")))</f>
        <v/>
      </c>
      <c r="H21" s="76" t="n"/>
    </row>
    <row r="22" ht="27.75" customHeight="1" s="38">
      <c r="A22" s="80" t="n"/>
      <c r="B22" s="81" t="n"/>
      <c r="C22" s="81" t="n"/>
      <c r="D22" s="80" t="n"/>
      <c r="E22" s="82" t="n"/>
      <c r="F22" s="78">
        <f>IF(OR(NOT(ISNUMBER(E22)),D22="",D22="On event"),"",EDATE(E22,IF(D22="6 months",6,12)))</f>
        <v/>
      </c>
      <c r="G22" s="79">
        <f>IF(NOT(ISNUMBER(F22)),"",IF(F22&lt;TODAY(),"OVERDUE",IF(F22&lt;TODAY()+30,"DUE SOON","OK")))</f>
        <v/>
      </c>
      <c r="H22" s="81" t="n"/>
    </row>
    <row r="23" ht="27.75" customHeight="1" s="38">
      <c r="A23" s="75" t="n"/>
      <c r="B23" s="76" t="n"/>
      <c r="C23" s="76" t="n"/>
      <c r="D23" s="75" t="n"/>
      <c r="E23" s="77" t="n"/>
      <c r="F23" s="78">
        <f>IF(OR(NOT(ISNUMBER(E23)),D23="",D23="On event"),"",EDATE(E23,IF(D23="6 months",6,12)))</f>
        <v/>
      </c>
      <c r="G23" s="79">
        <f>IF(NOT(ISNUMBER(F23)),"",IF(F23&lt;TODAY(),"OVERDUE",IF(F23&lt;TODAY()+30,"DUE SOON","OK")))</f>
        <v/>
      </c>
      <c r="H23" s="76" t="n"/>
    </row>
    <row r="24" ht="27.75" customHeight="1" s="38">
      <c r="A24" s="80" t="n"/>
      <c r="B24" s="81" t="n"/>
      <c r="C24" s="81" t="n"/>
      <c r="D24" s="80" t="n"/>
      <c r="E24" s="82" t="n"/>
      <c r="F24" s="78">
        <f>IF(OR(NOT(ISNUMBER(E24)),D24="",D24="On event"),"",EDATE(E24,IF(D24="6 months",6,12)))</f>
        <v/>
      </c>
      <c r="G24" s="79">
        <f>IF(NOT(ISNUMBER(F24)),"",IF(F24&lt;TODAY(),"OVERDUE",IF(F24&lt;TODAY()+30,"DUE SOON","OK")))</f>
        <v/>
      </c>
      <c r="H24" s="81" t="n"/>
    </row>
    <row r="25" ht="27.75" customHeight="1" s="38">
      <c r="A25" s="75" t="n"/>
      <c r="B25" s="76" t="n"/>
      <c r="C25" s="76" t="n"/>
      <c r="D25" s="75" t="n"/>
      <c r="E25" s="77" t="n"/>
      <c r="F25" s="78">
        <f>IF(OR(NOT(ISNUMBER(E25)),D25="",D25="On event"),"",EDATE(E25,IF(D25="6 months",6,12)))</f>
        <v/>
      </c>
      <c r="G25" s="79">
        <f>IF(NOT(ISNUMBER(F25)),"",IF(F25&lt;TODAY(),"OVERDUE",IF(F25&lt;TODAY()+30,"DUE SOON","OK")))</f>
        <v/>
      </c>
      <c r="H25" s="76" t="n"/>
    </row>
    <row r="26" ht="27.75" customHeight="1" s="38">
      <c r="A26" s="80" t="n"/>
      <c r="B26" s="81" t="n"/>
      <c r="C26" s="81" t="n"/>
      <c r="D26" s="80" t="n"/>
      <c r="E26" s="82" t="n"/>
      <c r="F26" s="78">
        <f>IF(OR(NOT(ISNUMBER(E26)),D26="",D26="On event"),"",EDATE(E26,IF(D26="6 months",6,12)))</f>
        <v/>
      </c>
      <c r="G26" s="79">
        <f>IF(NOT(ISNUMBER(F26)),"",IF(F26&lt;TODAY(),"OVERDUE",IF(F26&lt;TODAY()+30,"DUE SOON","OK")))</f>
        <v/>
      </c>
      <c r="H26" s="81" t="n"/>
    </row>
    <row r="27" ht="27.75" customHeight="1" s="38">
      <c r="A27" s="75" t="n"/>
      <c r="B27" s="76" t="n"/>
      <c r="C27" s="76" t="n"/>
      <c r="D27" s="75" t="n"/>
      <c r="E27" s="77" t="n"/>
      <c r="F27" s="78">
        <f>IF(OR(NOT(ISNUMBER(E27)),D27="",D27="On event"),"",EDATE(E27,IF(D27="6 months",6,12)))</f>
        <v/>
      </c>
      <c r="G27" s="79">
        <f>IF(NOT(ISNUMBER(F27)),"",IF(F27&lt;TODAY(),"OVERDUE",IF(F27&lt;TODAY()+30,"DUE SOON","OK")))</f>
        <v/>
      </c>
      <c r="H27" s="76" t="n"/>
    </row>
    <row r="28" ht="27.75" customHeight="1" s="38">
      <c r="A28" s="80" t="n"/>
      <c r="B28" s="81" t="n"/>
      <c r="C28" s="81" t="n"/>
      <c r="D28" s="80" t="n"/>
      <c r="E28" s="82" t="n"/>
      <c r="F28" s="78">
        <f>IF(OR(NOT(ISNUMBER(E28)),D28="",D28="On event"),"",EDATE(E28,IF(D28="6 months",6,12)))</f>
        <v/>
      </c>
      <c r="G28" s="79">
        <f>IF(NOT(ISNUMBER(F28)),"",IF(F28&lt;TODAY(),"OVERDUE",IF(F28&lt;TODAY()+30,"DUE SOON","OK")))</f>
        <v/>
      </c>
      <c r="H28" s="81" t="n"/>
    </row>
    <row r="29" ht="27.75" customHeight="1" s="38">
      <c r="A29" s="75" t="n"/>
      <c r="B29" s="76" t="n"/>
      <c r="C29" s="76" t="n"/>
      <c r="D29" s="75" t="n"/>
      <c r="E29" s="77" t="n"/>
      <c r="F29" s="78">
        <f>IF(OR(NOT(ISNUMBER(E29)),D29="",D29="On event"),"",EDATE(E29,IF(D29="6 months",6,12)))</f>
        <v/>
      </c>
      <c r="G29" s="79">
        <f>IF(NOT(ISNUMBER(F29)),"",IF(F29&lt;TODAY(),"OVERDUE",IF(F29&lt;TODAY()+30,"DUE SOON","OK")))</f>
        <v/>
      </c>
      <c r="H29" s="76" t="n"/>
    </row>
    <row r="30" ht="27.75" customHeight="1" s="38">
      <c r="A30" s="80" t="n"/>
      <c r="B30" s="81" t="n"/>
      <c r="C30" s="81" t="n"/>
      <c r="D30" s="80" t="n"/>
      <c r="E30" s="82" t="n"/>
      <c r="F30" s="78">
        <f>IF(OR(NOT(ISNUMBER(E30)),D30="",D30="On event"),"",EDATE(E30,IF(D30="6 months",6,12)))</f>
        <v/>
      </c>
      <c r="G30" s="79">
        <f>IF(NOT(ISNUMBER(F30)),"",IF(F30&lt;TODAY(),"OVERDUE",IF(F30&lt;TODAY()+30,"DUE SOON","OK")))</f>
        <v/>
      </c>
      <c r="H30" s="81" t="n"/>
    </row>
    <row r="31" ht="27.75" customHeight="1" s="38">
      <c r="A31" s="75" t="n"/>
      <c r="B31" s="76" t="n"/>
      <c r="C31" s="76" t="n"/>
      <c r="D31" s="75" t="n"/>
      <c r="E31" s="77" t="n"/>
      <c r="F31" s="78">
        <f>IF(OR(NOT(ISNUMBER(E31)),D31="",D31="On event"),"",EDATE(E31,IF(D31="6 months",6,12)))</f>
        <v/>
      </c>
      <c r="G31" s="79">
        <f>IF(NOT(ISNUMBER(F31)),"",IF(F31&lt;TODAY(),"OVERDUE",IF(F31&lt;TODAY()+30,"DUE SOON","OK")))</f>
        <v/>
      </c>
      <c r="H31" s="76" t="n"/>
    </row>
    <row r="32" ht="27.75" customHeight="1" s="38">
      <c r="A32" s="80" t="n"/>
      <c r="B32" s="81" t="n"/>
      <c r="C32" s="81" t="n"/>
      <c r="D32" s="80" t="n"/>
      <c r="E32" s="82" t="n"/>
      <c r="F32" s="78">
        <f>IF(OR(NOT(ISNUMBER(E32)),D32="",D32="On event"),"",EDATE(E32,IF(D32="6 months",6,12)))</f>
        <v/>
      </c>
      <c r="G32" s="79">
        <f>IF(NOT(ISNUMBER(F32)),"",IF(F32&lt;TODAY(),"OVERDUE",IF(F32&lt;TODAY()+30,"DUE SOON","OK")))</f>
        <v/>
      </c>
      <c r="H32" s="81" t="n"/>
    </row>
    <row r="33" ht="27.75" customHeight="1" s="38">
      <c r="A33" s="75" t="n"/>
      <c r="B33" s="76" t="n"/>
      <c r="C33" s="76" t="n"/>
      <c r="D33" s="75" t="n"/>
      <c r="E33" s="77" t="n"/>
      <c r="F33" s="78">
        <f>IF(OR(NOT(ISNUMBER(E33)),D33="",D33="On event"),"",EDATE(E33,IF(D33="6 months",6,12)))</f>
        <v/>
      </c>
      <c r="G33" s="79">
        <f>IF(NOT(ISNUMBER(F33)),"",IF(F33&lt;TODAY(),"OVERDUE",IF(F33&lt;TODAY()+30,"DUE SOON","OK")))</f>
        <v/>
      </c>
      <c r="H33" s="76" t="n"/>
    </row>
    <row r="34" ht="27.75" customHeight="1" s="38">
      <c r="A34" s="80" t="n"/>
      <c r="B34" s="81" t="n"/>
      <c r="C34" s="81" t="n"/>
      <c r="D34" s="80" t="n"/>
      <c r="E34" s="82" t="n"/>
      <c r="F34" s="78">
        <f>IF(OR(NOT(ISNUMBER(E34)),D34="",D34="On event"),"",EDATE(E34,IF(D34="6 months",6,12)))</f>
        <v/>
      </c>
      <c r="G34" s="79">
        <f>IF(NOT(ISNUMBER(F34)),"",IF(F34&lt;TODAY(),"OVERDUE",IF(F34&lt;TODAY()+30,"DUE SOON","OK")))</f>
        <v/>
      </c>
      <c r="H34" s="81" t="n"/>
    </row>
    <row r="35" ht="27.75" customHeight="1" s="38">
      <c r="A35" s="75" t="n"/>
      <c r="B35" s="76" t="n"/>
      <c r="C35" s="76" t="n"/>
      <c r="D35" s="75" t="n"/>
      <c r="E35" s="77" t="n"/>
      <c r="F35" s="78">
        <f>IF(OR(NOT(ISNUMBER(E35)),D35="",D35="On event"),"",EDATE(E35,IF(D35="6 months",6,12)))</f>
        <v/>
      </c>
      <c r="G35" s="79">
        <f>IF(NOT(ISNUMBER(F35)),"",IF(F35&lt;TODAY(),"OVERDUE",IF(F35&lt;TODAY()+30,"DUE SOON","OK")))</f>
        <v/>
      </c>
      <c r="H35" s="76" t="n"/>
    </row>
    <row r="36" ht="27.75" customHeight="1" s="38">
      <c r="A36" s="80" t="n"/>
      <c r="B36" s="81" t="n"/>
      <c r="C36" s="81" t="n"/>
      <c r="D36" s="80" t="n"/>
      <c r="E36" s="82" t="n"/>
      <c r="F36" s="78">
        <f>IF(OR(NOT(ISNUMBER(E36)),D36="",D36="On event"),"",EDATE(E36,IF(D36="6 months",6,12)))</f>
        <v/>
      </c>
      <c r="G36" s="79">
        <f>IF(NOT(ISNUMBER(F36)),"",IF(F36&lt;TODAY(),"OVERDUE",IF(F36&lt;TODAY()+30,"DUE SOON","OK")))</f>
        <v/>
      </c>
      <c r="H36" s="81" t="n"/>
    </row>
    <row r="37" ht="27.75" customHeight="1" s="38">
      <c r="A37" s="75" t="n"/>
      <c r="B37" s="76" t="n"/>
      <c r="C37" s="76" t="n"/>
      <c r="D37" s="75" t="n"/>
      <c r="E37" s="77" t="n"/>
      <c r="F37" s="78">
        <f>IF(OR(NOT(ISNUMBER(E37)),D37="",D37="On event"),"",EDATE(E37,IF(D37="6 months",6,12)))</f>
        <v/>
      </c>
      <c r="G37" s="79">
        <f>IF(NOT(ISNUMBER(F37)),"",IF(F37&lt;TODAY(),"OVERDUE",IF(F37&lt;TODAY()+30,"DUE SOON","OK")))</f>
        <v/>
      </c>
      <c r="H37" s="76" t="n"/>
    </row>
    <row r="38" ht="27.75" customHeight="1" s="38">
      <c r="A38" s="80" t="n"/>
      <c r="B38" s="81" t="n"/>
      <c r="C38" s="81" t="n"/>
      <c r="D38" s="80" t="n"/>
      <c r="E38" s="82" t="n"/>
      <c r="F38" s="78">
        <f>IF(OR(NOT(ISNUMBER(E38)),D38="",D38="On event"),"",EDATE(E38,IF(D38="6 months",6,12)))</f>
        <v/>
      </c>
      <c r="G38" s="79">
        <f>IF(NOT(ISNUMBER(F38)),"",IF(F38&lt;TODAY(),"OVERDUE",IF(F38&lt;TODAY()+30,"DUE SOON","OK")))</f>
        <v/>
      </c>
      <c r="H38" s="81" t="n"/>
    </row>
    <row r="39" ht="27.75" customHeight="1" s="38">
      <c r="A39" s="75" t="n"/>
      <c r="B39" s="76" t="n"/>
      <c r="C39" s="76" t="n"/>
      <c r="D39" s="75" t="n"/>
      <c r="E39" s="77" t="n"/>
      <c r="F39" s="78">
        <f>IF(OR(NOT(ISNUMBER(E39)),D39="",D39="On event"),"",EDATE(E39,IF(D39="6 months",6,12)))</f>
        <v/>
      </c>
      <c r="G39" s="79">
        <f>IF(NOT(ISNUMBER(F39)),"",IF(F39&lt;TODAY(),"OVERDUE",IF(F39&lt;TODAY()+30,"DUE SOON","OK")))</f>
        <v/>
      </c>
      <c r="H39" s="76" t="n"/>
    </row>
    <row r="40" ht="27.75" customHeight="1" s="38">
      <c r="A40" s="80" t="n"/>
      <c r="B40" s="81" t="n"/>
      <c r="C40" s="81" t="n"/>
      <c r="D40" s="80" t="n"/>
      <c r="E40" s="82" t="n"/>
      <c r="F40" s="78">
        <f>IF(OR(NOT(ISNUMBER(E40)),D40="",D40="On event"),"",EDATE(E40,IF(D40="6 months",6,12)))</f>
        <v/>
      </c>
      <c r="G40" s="79">
        <f>IF(NOT(ISNUMBER(F40)),"",IF(F40&lt;TODAY(),"OVERDUE",IF(F40&lt;TODAY()+30,"DUE SOON","OK")))</f>
        <v/>
      </c>
      <c r="H40" s="81" t="n"/>
    </row>
    <row r="41" ht="27.75" customHeight="1" s="38">
      <c r="A41" s="75" t="n"/>
      <c r="B41" s="76" t="n"/>
      <c r="C41" s="76" t="n"/>
      <c r="D41" s="75" t="n"/>
      <c r="E41" s="77" t="n"/>
      <c r="F41" s="78">
        <f>IF(OR(NOT(ISNUMBER(E41)),D41="",D41="On event"),"",EDATE(E41,IF(D41="6 months",6,12)))</f>
        <v/>
      </c>
      <c r="G41" s="79">
        <f>IF(NOT(ISNUMBER(F41)),"",IF(F41&lt;TODAY(),"OVERDUE",IF(F41&lt;TODAY()+30,"DUE SOON","OK")))</f>
        <v/>
      </c>
      <c r="H41" s="76" t="n"/>
    </row>
    <row r="42" ht="27.75" customHeight="1" s="38">
      <c r="A42" s="80" t="n"/>
      <c r="B42" s="81" t="n"/>
      <c r="C42" s="81" t="n"/>
      <c r="D42" s="80" t="n"/>
      <c r="E42" s="82" t="n"/>
      <c r="F42" s="78">
        <f>IF(OR(NOT(ISNUMBER(E42)),D42="",D42="On event"),"",EDATE(E42,IF(D42="6 months",6,12)))</f>
        <v/>
      </c>
      <c r="G42" s="79">
        <f>IF(NOT(ISNUMBER(F42)),"",IF(F42&lt;TODAY(),"OVERDUE",IF(F42&lt;TODAY()+30,"DUE SOON","OK")))</f>
        <v/>
      </c>
      <c r="H42" s="81" t="n"/>
    </row>
    <row r="43" ht="27.75" customHeight="1" s="38">
      <c r="A43" s="75" t="n"/>
      <c r="B43" s="76" t="n"/>
      <c r="C43" s="76" t="n"/>
      <c r="D43" s="75" t="n"/>
      <c r="E43" s="77" t="n"/>
      <c r="F43" s="78">
        <f>IF(OR(NOT(ISNUMBER(E43)),D43="",D43="On event"),"",EDATE(E43,IF(D43="6 months",6,12)))</f>
        <v/>
      </c>
      <c r="G43" s="79">
        <f>IF(NOT(ISNUMBER(F43)),"",IF(F43&lt;TODAY(),"OVERDUE",IF(F43&lt;TODAY()+30,"DUE SOON","OK")))</f>
        <v/>
      </c>
      <c r="H43" s="76" t="n"/>
    </row>
    <row r="44" ht="27.75" customHeight="1" s="38">
      <c r="A44" s="80" t="n"/>
      <c r="B44" s="81" t="n"/>
      <c r="C44" s="81" t="n"/>
      <c r="D44" s="80" t="n"/>
      <c r="E44" s="82" t="n"/>
      <c r="F44" s="78">
        <f>IF(OR(NOT(ISNUMBER(E44)),D44="",D44="On event"),"",EDATE(E44,IF(D44="6 months",6,12)))</f>
        <v/>
      </c>
      <c r="G44" s="79">
        <f>IF(NOT(ISNUMBER(F44)),"",IF(F44&lt;TODAY(),"OVERDUE",IF(F44&lt;TODAY()+30,"DUE SOON","OK")))</f>
        <v/>
      </c>
      <c r="H44" s="81" t="n"/>
    </row>
    <row r="45" ht="27.75" customHeight="1" s="38">
      <c r="A45" s="75" t="n"/>
      <c r="B45" s="76" t="n"/>
      <c r="C45" s="76" t="n"/>
      <c r="D45" s="75" t="n"/>
      <c r="E45" s="77" t="n"/>
      <c r="F45" s="78">
        <f>IF(OR(NOT(ISNUMBER(E45)),D45="",D45="On event"),"",EDATE(E45,IF(D45="6 months",6,12)))</f>
        <v/>
      </c>
      <c r="G45" s="79">
        <f>IF(NOT(ISNUMBER(F45)),"",IF(F45&lt;TODAY(),"OVERDUE",IF(F45&lt;TODAY()+30,"DUE SOON","OK")))</f>
        <v/>
      </c>
      <c r="H45" s="76" t="n"/>
    </row>
    <row r="46" ht="27.75" customHeight="1" s="38">
      <c r="A46" s="80" t="n"/>
      <c r="B46" s="81" t="n"/>
      <c r="C46" s="81" t="n"/>
      <c r="D46" s="80" t="n"/>
      <c r="E46" s="82" t="n"/>
      <c r="F46" s="78">
        <f>IF(OR(NOT(ISNUMBER(E46)),D46="",D46="On event"),"",EDATE(E46,IF(D46="6 months",6,12)))</f>
        <v/>
      </c>
      <c r="G46" s="79">
        <f>IF(NOT(ISNUMBER(F46)),"",IF(F46&lt;TODAY(),"OVERDUE",IF(F46&lt;TODAY()+30,"DUE SOON","OK")))</f>
        <v/>
      </c>
      <c r="H46" s="81" t="n"/>
    </row>
    <row r="47" ht="27.75" customHeight="1" s="38">
      <c r="A47" s="75" t="n"/>
      <c r="B47" s="76" t="n"/>
      <c r="C47" s="76" t="n"/>
      <c r="D47" s="75" t="n"/>
      <c r="E47" s="77" t="n"/>
      <c r="F47" s="78">
        <f>IF(OR(NOT(ISNUMBER(E47)),D47="",D47="On event"),"",EDATE(E47,IF(D47="6 months",6,12)))</f>
        <v/>
      </c>
      <c r="G47" s="79">
        <f>IF(NOT(ISNUMBER(F47)),"",IF(F47&lt;TODAY(),"OVERDUE",IF(F47&lt;TODAY()+30,"DUE SOON","OK")))</f>
        <v/>
      </c>
      <c r="H47" s="76" t="n"/>
    </row>
    <row r="48" ht="27.75" customHeight="1" s="38">
      <c r="A48" s="80" t="n"/>
      <c r="B48" s="81" t="n"/>
      <c r="C48" s="81" t="n"/>
      <c r="D48" s="80" t="n"/>
      <c r="E48" s="82" t="n"/>
      <c r="F48" s="78">
        <f>IF(OR(NOT(ISNUMBER(E48)),D48="",D48="On event"),"",EDATE(E48,IF(D48="6 months",6,12)))</f>
        <v/>
      </c>
      <c r="G48" s="79">
        <f>IF(NOT(ISNUMBER(F48)),"",IF(F48&lt;TODAY(),"OVERDUE",IF(F48&lt;TODAY()+30,"DUE SOON","OK")))</f>
        <v/>
      </c>
      <c r="H48" s="81" t="n"/>
    </row>
    <row r="49" ht="27.75" customHeight="1" s="38">
      <c r="A49" s="75" t="n"/>
      <c r="B49" s="76" t="n"/>
      <c r="C49" s="76" t="n"/>
      <c r="D49" s="75" t="n"/>
      <c r="E49" s="77" t="n"/>
      <c r="F49" s="78">
        <f>IF(OR(NOT(ISNUMBER(E49)),D49="",D49="On event"),"",EDATE(E49,IF(D49="6 months",6,12)))</f>
        <v/>
      </c>
      <c r="G49" s="79">
        <f>IF(NOT(ISNUMBER(F49)),"",IF(F49&lt;TODAY(),"OVERDUE",IF(F49&lt;TODAY()+30,"DUE SOON","OK")))</f>
        <v/>
      </c>
      <c r="H49" s="76" t="n"/>
    </row>
    <row r="50" ht="27.75" customHeight="1" s="38">
      <c r="A50" s="80" t="n"/>
      <c r="B50" s="81" t="n"/>
      <c r="C50" s="81" t="n"/>
      <c r="D50" s="80" t="n"/>
      <c r="E50" s="82" t="n"/>
      <c r="F50" s="78">
        <f>IF(OR(NOT(ISNUMBER(E50)),D50="",D50="On event"),"",EDATE(E50,IF(D50="6 months",6,12)))</f>
        <v/>
      </c>
      <c r="G50" s="79">
        <f>IF(NOT(ISNUMBER(F50)),"",IF(F50&lt;TODAY(),"OVERDUE",IF(F50&lt;TODAY()+30,"DUE SOON","OK")))</f>
        <v/>
      </c>
      <c r="H50" s="81" t="n"/>
    </row>
    <row r="51" ht="27.75" customHeight="1" s="38">
      <c r="A51" s="75" t="n"/>
      <c r="B51" s="76" t="n"/>
      <c r="C51" s="76" t="n"/>
      <c r="D51" s="75" t="n"/>
      <c r="E51" s="77" t="n"/>
      <c r="F51" s="78">
        <f>IF(OR(NOT(ISNUMBER(E51)),D51="",D51="On event"),"",EDATE(E51,IF(D51="6 months",6,12)))</f>
        <v/>
      </c>
      <c r="G51" s="79">
        <f>IF(NOT(ISNUMBER(F51)),"",IF(F51&lt;TODAY(),"OVERDUE",IF(F51&lt;TODAY()+30,"DUE SOON","OK")))</f>
        <v/>
      </c>
      <c r="H51" s="76" t="n"/>
    </row>
    <row r="52" ht="27.75" customHeight="1" s="38">
      <c r="A52" s="80" t="n"/>
      <c r="B52" s="81" t="n"/>
      <c r="C52" s="81" t="n"/>
      <c r="D52" s="80" t="n"/>
      <c r="E52" s="82" t="n"/>
      <c r="F52" s="78">
        <f>IF(OR(NOT(ISNUMBER(E52)),D52="",D52="On event"),"",EDATE(E52,IF(D52="6 months",6,12)))</f>
        <v/>
      </c>
      <c r="G52" s="79">
        <f>IF(NOT(ISNUMBER(F52)),"",IF(F52&lt;TODAY(),"OVERDUE",IF(F52&lt;TODAY()+30,"DUE SOON","OK")))</f>
        <v/>
      </c>
      <c r="H52" s="81" t="n"/>
    </row>
    <row r="53" ht="27.75" customHeight="1" s="38">
      <c r="A53" s="75" t="n"/>
      <c r="B53" s="76" t="n"/>
      <c r="C53" s="76" t="n"/>
      <c r="D53" s="75" t="n"/>
      <c r="E53" s="77" t="n"/>
      <c r="F53" s="78">
        <f>IF(OR(NOT(ISNUMBER(E53)),D53="",D53="On event"),"",EDATE(E53,IF(D53="6 months",6,12)))</f>
        <v/>
      </c>
      <c r="G53" s="79">
        <f>IF(NOT(ISNUMBER(F53)),"",IF(F53&lt;TODAY(),"OVERDUE",IF(F53&lt;TODAY()+30,"DUE SOON","OK")))</f>
        <v/>
      </c>
      <c r="H53" s="76" t="n"/>
    </row>
    <row r="54" ht="27.75" customHeight="1" s="38">
      <c r="A54" s="80" t="n"/>
      <c r="B54" s="81" t="n"/>
      <c r="C54" s="81" t="n"/>
      <c r="D54" s="80" t="n"/>
      <c r="E54" s="82" t="n"/>
      <c r="F54" s="78">
        <f>IF(OR(NOT(ISNUMBER(E54)),D54="",D54="On event"),"",EDATE(E54,IF(D54="6 months",6,12)))</f>
        <v/>
      </c>
      <c r="G54" s="79">
        <f>IF(NOT(ISNUMBER(F54)),"",IF(F54&lt;TODAY(),"OVERDUE",IF(F54&lt;TODAY()+30,"DUE SOON","OK")))</f>
        <v/>
      </c>
      <c r="H54" s="81" t="n"/>
    </row>
    <row r="55" ht="27.75" customHeight="1" s="38">
      <c r="A55" s="75" t="n"/>
      <c r="B55" s="76" t="n"/>
      <c r="C55" s="76" t="n"/>
      <c r="D55" s="75" t="n"/>
      <c r="E55" s="77" t="n"/>
      <c r="F55" s="78">
        <f>IF(OR(NOT(ISNUMBER(E55)),D55="",D55="On event"),"",EDATE(E55,IF(D55="6 months",6,12)))</f>
        <v/>
      </c>
      <c r="G55" s="79">
        <f>IF(NOT(ISNUMBER(F55)),"",IF(F55&lt;TODAY(),"OVERDUE",IF(F55&lt;TODAY()+30,"DUE SOON","OK")))</f>
        <v/>
      </c>
      <c r="H55" s="76" t="n"/>
    </row>
    <row r="56" ht="27.75" customHeight="1" s="38">
      <c r="A56" s="80" t="n"/>
      <c r="B56" s="81" t="n"/>
      <c r="C56" s="81" t="n"/>
      <c r="D56" s="80" t="n"/>
      <c r="E56" s="82" t="n"/>
      <c r="F56" s="78">
        <f>IF(OR(NOT(ISNUMBER(E56)),D56="",D56="On event"),"",EDATE(E56,IF(D56="6 months",6,12)))</f>
        <v/>
      </c>
      <c r="G56" s="79">
        <f>IF(NOT(ISNUMBER(F56)),"",IF(F56&lt;TODAY(),"OVERDUE",IF(F56&lt;TODAY()+30,"DUE SOON","OK")))</f>
        <v/>
      </c>
      <c r="H56" s="81" t="n"/>
    </row>
    <row r="57" ht="27.75" customHeight="1" s="38">
      <c r="A57" s="75" t="n"/>
      <c r="B57" s="76" t="n"/>
      <c r="C57" s="76" t="n"/>
      <c r="D57" s="75" t="n"/>
      <c r="E57" s="77" t="n"/>
      <c r="F57" s="78">
        <f>IF(OR(NOT(ISNUMBER(E57)),D57="",D57="On event"),"",EDATE(E57,IF(D57="6 months",6,12)))</f>
        <v/>
      </c>
      <c r="G57" s="79">
        <f>IF(NOT(ISNUMBER(F57)),"",IF(F57&lt;TODAY(),"OVERDUE",IF(F57&lt;TODAY()+30,"DUE SOON","OK")))</f>
        <v/>
      </c>
      <c r="H57" s="76" t="n"/>
    </row>
    <row r="58" ht="27.75" customHeight="1" s="38">
      <c r="A58" s="80" t="n"/>
      <c r="B58" s="81" t="n"/>
      <c r="C58" s="81" t="n"/>
      <c r="D58" s="80" t="n"/>
      <c r="E58" s="82" t="n"/>
      <c r="F58" s="78">
        <f>IF(OR(NOT(ISNUMBER(E58)),D58="",D58="On event"),"",EDATE(E58,IF(D58="6 months",6,12)))</f>
        <v/>
      </c>
      <c r="G58" s="79">
        <f>IF(NOT(ISNUMBER(F58)),"",IF(F58&lt;TODAY(),"OVERDUE",IF(F58&lt;TODAY()+30,"DUE SOON","OK")))</f>
        <v/>
      </c>
      <c r="H58" s="81" t="n"/>
    </row>
    <row r="59" ht="27.75" customHeight="1" s="38">
      <c r="A59" s="75" t="n"/>
      <c r="B59" s="76" t="n"/>
      <c r="C59" s="76" t="n"/>
      <c r="D59" s="75" t="n"/>
      <c r="E59" s="77" t="n"/>
      <c r="F59" s="78">
        <f>IF(OR(NOT(ISNUMBER(E59)),D59="",D59="On event"),"",EDATE(E59,IF(D59="6 months",6,12)))</f>
        <v/>
      </c>
      <c r="G59" s="79">
        <f>IF(NOT(ISNUMBER(F59)),"",IF(F59&lt;TODAY(),"OVERDUE",IF(F59&lt;TODAY()+30,"DUE SOON","OK")))</f>
        <v/>
      </c>
      <c r="H59" s="76" t="n"/>
    </row>
    <row r="60" ht="27.75" customHeight="1" s="38">
      <c r="A60" s="80" t="n"/>
      <c r="B60" s="81" t="n"/>
      <c r="C60" s="81" t="n"/>
      <c r="D60" s="80" t="n"/>
      <c r="E60" s="82" t="n"/>
      <c r="F60" s="78">
        <f>IF(OR(NOT(ISNUMBER(E60)),D60="",D60="On event"),"",EDATE(E60,IF(D60="6 months",6,12)))</f>
        <v/>
      </c>
      <c r="G60" s="79">
        <f>IF(NOT(ISNUMBER(F60)),"",IF(F60&lt;TODAY(),"OVERDUE",IF(F60&lt;TODAY()+30,"DUE SOON","OK")))</f>
        <v/>
      </c>
      <c r="H60" s="81" t="n"/>
    </row>
    <row r="61" ht="27.75" customHeight="1" s="38">
      <c r="A61" s="75" t="n"/>
      <c r="B61" s="76" t="n"/>
      <c r="C61" s="76" t="n"/>
      <c r="D61" s="75" t="n"/>
      <c r="E61" s="77" t="n"/>
      <c r="F61" s="78">
        <f>IF(OR(NOT(ISNUMBER(E61)),D61="",D61="On event"),"",EDATE(E61,IF(D61="6 months",6,12)))</f>
        <v/>
      </c>
      <c r="G61" s="79">
        <f>IF(NOT(ISNUMBER(F61)),"",IF(F61&lt;TODAY(),"OVERDUE",IF(F61&lt;TODAY()+30,"DUE SOON","OK")))</f>
        <v/>
      </c>
      <c r="H61" s="76" t="n"/>
    </row>
    <row r="62" ht="27.75" customHeight="1" s="38">
      <c r="A62" s="80" t="n"/>
      <c r="B62" s="81" t="n"/>
      <c r="C62" s="81" t="n"/>
      <c r="D62" s="80" t="n"/>
      <c r="E62" s="82" t="n"/>
      <c r="F62" s="78">
        <f>IF(OR(NOT(ISNUMBER(E62)),D62="",D62="On event"),"",EDATE(E62,IF(D62="6 months",6,12)))</f>
        <v/>
      </c>
      <c r="G62" s="79">
        <f>IF(NOT(ISNUMBER(F62)),"",IF(F62&lt;TODAY(),"OVERDUE",IF(F62&lt;TODAY()+30,"DUE SOON","OK")))</f>
        <v/>
      </c>
      <c r="H62" s="81" t="n"/>
    </row>
    <row r="63" ht="27.75" customHeight="1" s="38">
      <c r="A63" s="75" t="n"/>
      <c r="B63" s="76" t="n"/>
      <c r="C63" s="76" t="n"/>
      <c r="D63" s="75" t="n"/>
      <c r="E63" s="77" t="n"/>
      <c r="F63" s="78">
        <f>IF(OR(NOT(ISNUMBER(E63)),D63="",D63="On event"),"",EDATE(E63,IF(D63="6 months",6,12)))</f>
        <v/>
      </c>
      <c r="G63" s="79">
        <f>IF(NOT(ISNUMBER(F63)),"",IF(F63&lt;TODAY(),"OVERDUE",IF(F63&lt;TODAY()+30,"DUE SOON","OK")))</f>
        <v/>
      </c>
      <c r="H63" s="76" t="n"/>
    </row>
    <row r="64" ht="27.75" customHeight="1" s="38">
      <c r="A64" s="80" t="n"/>
      <c r="B64" s="81" t="n"/>
      <c r="C64" s="81" t="n"/>
      <c r="D64" s="80" t="n"/>
      <c r="E64" s="82" t="n"/>
      <c r="F64" s="78">
        <f>IF(OR(NOT(ISNUMBER(E64)),D64="",D64="On event"),"",EDATE(E64,IF(D64="6 months",6,12)))</f>
        <v/>
      </c>
      <c r="G64" s="79">
        <f>IF(NOT(ISNUMBER(F64)),"",IF(F64&lt;TODAY(),"OVERDUE",IF(F64&lt;TODAY()+30,"DUE SOON","OK")))</f>
        <v/>
      </c>
      <c r="H64" s="81" t="n"/>
    </row>
  </sheetData>
  <sheetProtection selectLockedCells="0" selectUnlockedCells="0" sheet="1" objects="0" insertRows="1" insertHyperlinks="1" autoFilter="1" scenarios="0" formatColumns="1" deleteColumns="1" insertColumns="1" pivotTables="1" deleteRows="1" formatCells="1" formatRows="1" sort="1"/>
  <autoFilter ref="A4:H64"/>
  <mergeCells count="2">
    <mergeCell ref="A2:H2"/>
    <mergeCell ref="A1:H1"/>
  </mergeCells>
  <conditionalFormatting sqref="G5:G64">
    <cfRule type="expression" rank="0" priority="2" equalAverage="0" aboveAverage="0" dxfId="5" text="" percent="0" bottom="0">
      <formula>$G5="OVERDUE"</formula>
    </cfRule>
    <cfRule type="expression" rank="0" priority="3" equalAverage="0" aboveAverage="0" dxfId="6" text="" percent="0" bottom="0">
      <formula>$G5="DUE SOON"</formula>
    </cfRule>
    <cfRule type="expression" rank="0" priority="4" equalAverage="0" aboveAverage="0" dxfId="7" text="" percent="0" bottom="0">
      <formula>$G5="OK"</formula>
    </cfRule>
  </conditionalFormatting>
  <dataValidations count="1">
    <dataValidation sqref="D5:D64" showDropDown="0" showInputMessage="0" showErrorMessage="1" allowBlank="1" type="list" errorStyle="stop" operator="between">
      <formula1>"6 months,12 months,On event"</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B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68" min="1" max="1"/>
    <col width="74" customWidth="1" style="68" min="2" max="2"/>
  </cols>
  <sheetData>
    <row r="1" ht="25.5" customHeight="1" s="38">
      <c r="A1" s="69" t="inlineStr">
        <is>
          <t>AUDIT PLAN</t>
        </is>
      </c>
    </row>
    <row r="2" ht="15.75" customHeight="1" s="38">
      <c r="A2" s="70" t="inlineStr">
        <is>
          <t>Completed and sent to the auditee BEFORE anything is opened.</t>
        </is>
      </c>
    </row>
    <row r="3"/>
    <row r="4" ht="24" customHeight="1" s="38">
      <c r="A4" s="83" t="inlineStr">
        <is>
          <t>Process audited</t>
        </is>
      </c>
      <c r="B4" s="76" t="n"/>
    </row>
    <row r="5" ht="39.75" customHeight="1" s="38">
      <c r="A5" s="83" t="inlineStr">
        <is>
          <t>Scope—in</t>
        </is>
      </c>
      <c r="B5" s="76" t="n"/>
    </row>
    <row r="6" ht="31.5" customHeight="1" s="38">
      <c r="A6" s="83" t="inlineStr">
        <is>
          <t>Scope—out</t>
        </is>
      </c>
      <c r="B6" s="76" t="n"/>
    </row>
    <row r="7" ht="31.5" customHeight="1" s="38">
      <c r="A7" s="83" t="inlineStr">
        <is>
          <t>Why now</t>
        </is>
      </c>
      <c r="B7" s="76" t="n"/>
    </row>
    <row r="8" ht="39.75" customHeight="1" s="38">
      <c r="A8" s="83" t="inlineStr">
        <is>
          <t>Documents to read first</t>
        </is>
      </c>
      <c r="B8" s="76" t="n"/>
    </row>
    <row r="9" ht="55.5" customHeight="1" s="38">
      <c r="A9" s="83" t="inlineStr">
        <is>
          <t>Sample design—how records will be chosen</t>
        </is>
      </c>
      <c r="B9" s="76" t="n"/>
    </row>
    <row r="10" ht="43.5" customHeight="1" s="38">
      <c r="A10" s="83" t="inlineStr">
        <is>
          <t>Conditions deliberately included (cover, peak load, shutdown)</t>
        </is>
      </c>
      <c r="B10" s="76" t="n"/>
    </row>
    <row r="11" ht="30" customHeight="1" s="38">
      <c r="A11" s="83" t="inlineStr">
        <is>
          <t>People to be available</t>
        </is>
      </c>
      <c r="B11" s="76" t="n"/>
    </row>
    <row r="12" ht="24" customHeight="1" s="38">
      <c r="A12" s="83" t="inlineStr">
        <is>
          <t>Date, time, duration</t>
        </is>
      </c>
      <c r="B12" s="76" t="n"/>
    </row>
    <row r="13" ht="30" customHeight="1" s="38">
      <c r="A13" s="83" t="inlineStr">
        <is>
          <t>Auditor—confirms no involvement in this process</t>
        </is>
      </c>
      <c r="B13" s="76" t="n"/>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0"/>
  </sheetPr>
  <dimension ref="A1:D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68" min="1" max="1"/>
    <col width="30" customWidth="1" style="68" min="2" max="2"/>
    <col width="44" customWidth="1" style="68" min="3" max="3"/>
    <col width="10" customWidth="1" style="68" min="4" max="4"/>
  </cols>
  <sheetData>
    <row r="1" ht="25.5" customHeight="1" s="38">
      <c r="A1" s="69" t="inlineStr">
        <is>
          <t>TRAIL RECORD</t>
        </is>
      </c>
    </row>
    <row r="2" ht="15.75" customHeight="1" s="38">
      <c r="A2" s="70" t="inlineStr">
        <is>
          <t>One unit, followed forward and backward. The right-hand column is the audit.</t>
        </is>
      </c>
    </row>
    <row r="3"/>
    <row r="4" ht="30" customHeight="1" s="38">
      <c r="A4" s="74" t="inlineStr">
        <is>
          <t>Link in the trail</t>
        </is>
      </c>
      <c r="B4" s="74" t="inlineStr">
        <is>
          <t>Record that should exist</t>
        </is>
      </c>
      <c r="C4" s="74" t="inlineStr">
        <is>
          <t>What was found</t>
        </is>
      </c>
      <c r="D4" s="74" t="inlineStr">
        <is>
          <t>Gap?</t>
        </is>
      </c>
    </row>
    <row r="5" ht="31.5" customHeight="1" s="38">
      <c r="A5" s="76" t="n"/>
      <c r="B5" s="76" t="n"/>
      <c r="C5" s="76" t="n"/>
      <c r="D5" s="76" t="n"/>
    </row>
    <row r="6" ht="31.5" customHeight="1" s="38">
      <c r="A6" s="81" t="n"/>
      <c r="B6" s="81" t="n"/>
      <c r="C6" s="81" t="n"/>
      <c r="D6" s="81" t="n"/>
    </row>
    <row r="7" ht="31.5" customHeight="1" s="38">
      <c r="A7" s="76" t="n"/>
      <c r="B7" s="76" t="n"/>
      <c r="C7" s="76" t="n"/>
      <c r="D7" s="76" t="n"/>
    </row>
    <row r="8" ht="31.5" customHeight="1" s="38">
      <c r="A8" s="81" t="n"/>
      <c r="B8" s="81" t="n"/>
      <c r="C8" s="81" t="n"/>
      <c r="D8" s="81" t="n"/>
    </row>
    <row r="9" ht="31.5" customHeight="1" s="38">
      <c r="A9" s="76" t="n"/>
      <c r="B9" s="76" t="n"/>
      <c r="C9" s="76" t="n"/>
      <c r="D9" s="76" t="n"/>
    </row>
    <row r="10" ht="31.5" customHeight="1" s="38">
      <c r="A10" s="81" t="n"/>
      <c r="B10" s="81" t="n"/>
      <c r="C10" s="81" t="n"/>
      <c r="D10" s="81" t="n"/>
    </row>
    <row r="11" ht="31.5" customHeight="1" s="38">
      <c r="A11" s="76" t="n"/>
      <c r="B11" s="76" t="n"/>
      <c r="C11" s="76" t="n"/>
      <c r="D11" s="76" t="n"/>
    </row>
    <row r="12" ht="31.5" customHeight="1" s="38">
      <c r="A12" s="81" t="n"/>
      <c r="B12" s="81" t="n"/>
      <c r="C12" s="81" t="n"/>
      <c r="D12" s="81" t="n"/>
    </row>
    <row r="13" ht="31.5" customHeight="1" s="38">
      <c r="A13" s="76" t="n"/>
      <c r="B13" s="76" t="n"/>
      <c r="C13" s="76" t="n"/>
      <c r="D13" s="76" t="n"/>
    </row>
    <row r="14" ht="31.5" customHeight="1" s="38">
      <c r="A14" s="81" t="n"/>
      <c r="B14" s="81" t="n"/>
      <c r="C14" s="81" t="n"/>
      <c r="D14" s="81" t="n"/>
    </row>
    <row r="15" ht="31.5" customHeight="1" s="38">
      <c r="A15" s="76" t="n"/>
      <c r="B15" s="76" t="n"/>
      <c r="C15" s="76" t="n"/>
      <c r="D15" s="76" t="n"/>
    </row>
    <row r="16" ht="31.5" customHeight="1" s="38">
      <c r="A16" s="81" t="n"/>
      <c r="B16" s="81" t="n"/>
      <c r="C16" s="81" t="n"/>
      <c r="D16" s="81" t="n"/>
    </row>
    <row r="17" ht="31.5" customHeight="1" s="38">
      <c r="A17" s="76" t="n"/>
      <c r="B17" s="76" t="n"/>
      <c r="C17" s="76" t="n"/>
      <c r="D17" s="76" t="n"/>
    </row>
    <row r="18" ht="31.5" customHeight="1" s="38">
      <c r="A18" s="81" t="n"/>
      <c r="B18" s="81" t="n"/>
      <c r="C18" s="81" t="n"/>
      <c r="D18" s="81" t="n"/>
    </row>
    <row r="19" ht="31.5" customHeight="1" s="38">
      <c r="A19" s="76" t="n"/>
      <c r="B19" s="76" t="n"/>
      <c r="C19" s="76" t="n"/>
      <c r="D19" s="76" t="n"/>
    </row>
    <row r="20" ht="31.5" customHeight="1" s="38">
      <c r="A20" s="81" t="n"/>
      <c r="B20" s="81" t="n"/>
      <c r="C20" s="81" t="n"/>
      <c r="D20" s="81" t="n"/>
    </row>
    <row r="21" ht="31.5" customHeight="1" s="38">
      <c r="A21" s="76" t="n"/>
      <c r="B21" s="76" t="n"/>
      <c r="C21" s="76" t="n"/>
      <c r="D21" s="76" t="n"/>
    </row>
    <row r="22" ht="31.5" customHeight="1" s="38">
      <c r="A22" s="81" t="n"/>
      <c r="B22" s="81" t="n"/>
      <c r="C22" s="81" t="n"/>
      <c r="D22" s="81" t="n"/>
    </row>
    <row r="23" ht="31.5" customHeight="1" s="38">
      <c r="A23" s="76" t="n"/>
      <c r="B23" s="76" t="n"/>
      <c r="C23" s="76" t="n"/>
      <c r="D23" s="76" t="n"/>
    </row>
    <row r="24" ht="31.5" customHeight="1" s="38">
      <c r="A24" s="81" t="n"/>
      <c r="B24" s="81" t="n"/>
      <c r="C24" s="81" t="n"/>
      <c r="D24" s="81" t="n"/>
    </row>
    <row r="25" ht="31.5" customHeight="1" s="38">
      <c r="A25" s="76" t="n"/>
      <c r="B25" s="76" t="n"/>
      <c r="C25" s="76" t="n"/>
      <c r="D25" s="76" t="n"/>
    </row>
    <row r="26" ht="31.5" customHeight="1" s="38">
      <c r="A26" s="81" t="n"/>
      <c r="B26" s="81" t="n"/>
      <c r="C26" s="81" t="n"/>
      <c r="D26" s="81" t="n"/>
    </row>
    <row r="27" ht="31.5" customHeight="1" s="38">
      <c r="A27" s="76" t="n"/>
      <c r="B27" s="76" t="n"/>
      <c r="C27" s="76" t="n"/>
      <c r="D27" s="76" t="n"/>
    </row>
    <row r="28" ht="31.5" customHeight="1" s="38">
      <c r="A28" s="81" t="n"/>
      <c r="B28" s="81" t="n"/>
      <c r="C28" s="81" t="n"/>
      <c r="D28" s="81" t="n"/>
    </row>
    <row r="29" ht="31.5" customHeight="1" s="38">
      <c r="A29" s="76" t="n"/>
      <c r="B29" s="76" t="n"/>
      <c r="C29" s="76" t="n"/>
      <c r="D29" s="76" t="n"/>
    </row>
    <row r="30" ht="31.5" customHeight="1" s="38">
      <c r="A30" s="81" t="n"/>
      <c r="B30" s="81" t="n"/>
      <c r="C30" s="81" t="n"/>
      <c r="D30" s="81" t="n"/>
    </row>
    <row r="31" ht="31.5" customHeight="1" s="38">
      <c r="A31" s="76" t="n"/>
      <c r="B31" s="76" t="n"/>
      <c r="C31" s="76" t="n"/>
      <c r="D31" s="76" t="n"/>
    </row>
    <row r="32" ht="31.5" customHeight="1" s="38">
      <c r="A32" s="81" t="n"/>
      <c r="B32" s="81" t="n"/>
      <c r="C32" s="81" t="n"/>
      <c r="D32" s="81" t="n"/>
    </row>
    <row r="33" ht="31.5" customHeight="1" s="38">
      <c r="A33" s="76" t="n"/>
      <c r="B33" s="76" t="n"/>
      <c r="C33" s="76" t="n"/>
      <c r="D33" s="76" t="n"/>
    </row>
    <row r="34" ht="31.5" customHeight="1" s="38">
      <c r="A34" s="81" t="n"/>
      <c r="B34" s="81" t="n"/>
      <c r="C34" s="81" t="n"/>
      <c r="D34" s="81" t="n"/>
    </row>
    <row r="35" ht="31.5" customHeight="1" s="38">
      <c r="A35" s="76" t="n"/>
      <c r="B35" s="76" t="n"/>
      <c r="C35" s="76" t="n"/>
      <c r="D35" s="76" t="n"/>
    </row>
    <row r="36" ht="31.5" customHeight="1" s="38">
      <c r="A36" s="81" t="n"/>
      <c r="B36" s="81" t="n"/>
      <c r="C36" s="81" t="n"/>
      <c r="D36" s="81" t="n"/>
    </row>
    <row r="37" ht="31.5" customHeight="1" s="38">
      <c r="A37" s="76" t="n"/>
      <c r="B37" s="76" t="n"/>
      <c r="C37" s="76" t="n"/>
      <c r="D37" s="76" t="n"/>
    </row>
    <row r="38" ht="31.5" customHeight="1" s="38">
      <c r="A38" s="81" t="n"/>
      <c r="B38" s="81" t="n"/>
      <c r="C38" s="81" t="n"/>
      <c r="D38" s="81" t="n"/>
    </row>
    <row r="39" ht="31.5" customHeight="1" s="38">
      <c r="A39" s="76" t="n"/>
      <c r="B39" s="76" t="n"/>
      <c r="C39" s="76" t="n"/>
      <c r="D39" s="76" t="n"/>
    </row>
    <row r="40" ht="31.5" customHeight="1" s="38">
      <c r="A40" s="81" t="n"/>
      <c r="B40" s="81" t="n"/>
      <c r="C40" s="81" t="n"/>
      <c r="D40" s="81" t="n"/>
    </row>
    <row r="41" ht="31.5" customHeight="1" s="38">
      <c r="A41" s="76" t="n"/>
      <c r="B41" s="76" t="n"/>
      <c r="C41" s="76" t="n"/>
      <c r="D41" s="76" t="n"/>
    </row>
    <row r="42" ht="31.5" customHeight="1" s="38">
      <c r="A42" s="81" t="n"/>
      <c r="B42" s="81" t="n"/>
      <c r="C42" s="81" t="n"/>
      <c r="D42" s="81" t="n"/>
    </row>
    <row r="43" ht="31.5" customHeight="1" s="38">
      <c r="A43" s="76" t="n"/>
      <c r="B43" s="76" t="n"/>
      <c r="C43" s="76" t="n"/>
      <c r="D43" s="76" t="n"/>
    </row>
    <row r="44" ht="31.5" customHeight="1" s="38">
      <c r="A44" s="81" t="n"/>
      <c r="B44" s="81" t="n"/>
      <c r="C44" s="81" t="n"/>
      <c r="D44" s="81" t="n"/>
    </row>
  </sheetData>
  <sheetProtection selectLockedCells="0" selectUnlockedCells="0" sheet="1" objects="0" insertRows="1" insertHyperlinks="1" autoFilter="1" scenarios="0" formatColumns="1" deleteColumns="1" insertColumns="1" pivotTables="1" deleteRows="1" formatCells="1" formatRows="1" sort="1"/>
  <mergeCells count="2">
    <mergeCell ref="A1:D1"/>
    <mergeCell ref="A2:D2"/>
  </mergeCells>
  <conditionalFormatting sqref="D5:D44">
    <cfRule type="expression" rank="0" priority="2" equalAverage="0" aboveAverage="0" dxfId="8" text="" percent="0" bottom="0">
      <formula>$D5="yes"</formula>
    </cfRule>
  </conditionalFormatting>
  <dataValidations count="1">
    <dataValidation sqref="D5:D44" showDropDown="0" showInputMessage="0"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B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68" min="1" max="1"/>
    <col width="74" customWidth="1" style="68" min="2" max="2"/>
  </cols>
  <sheetData>
    <row r="1" ht="25.5" customHeight="1" s="38">
      <c r="A1" s="69" t="inlineStr">
        <is>
          <t>SAMPLE RECORD</t>
        </is>
      </c>
    </row>
    <row r="2" ht="15.75" customHeight="1" s="38">
      <c r="A2" s="70" t="inlineStr">
        <is>
          <t>Decided before the records are opened. That is what makes it a sample.</t>
        </is>
      </c>
    </row>
    <row r="3"/>
    <row r="4" ht="24" customHeight="1" s="38">
      <c r="A4" s="83" t="inlineStr">
        <is>
          <t>Population</t>
        </is>
      </c>
      <c r="B4" s="76" t="n"/>
    </row>
    <row r="5" ht="33.75" customHeight="1" s="38">
      <c r="A5" s="83" t="inlineStr">
        <is>
          <t>Size, and why that size</t>
        </is>
      </c>
      <c r="B5" s="76" t="n"/>
    </row>
    <row r="6" ht="48" customHeight="1" s="38">
      <c r="A6" s="83" t="inlineStr">
        <is>
          <t>How the sample was selected</t>
        </is>
      </c>
      <c r="B6" s="76" t="n"/>
    </row>
    <row r="7" ht="39.75" customHeight="1" s="38">
      <c r="A7" s="83" t="inlineStr">
        <is>
          <t>Conditions deliberately included</t>
        </is>
      </c>
      <c r="B7" s="76" t="n"/>
    </row>
    <row r="8" ht="24" customHeight="1" s="38">
      <c r="A8" s="83" t="inlineStr">
        <is>
          <t>Decided on (date, before opening the records)</t>
        </is>
      </c>
      <c r="B8" s="76" t="n"/>
    </row>
    <row r="9" ht="39.75" customHeight="1" s="38">
      <c r="A9" s="83" t="inlineStr">
        <is>
          <t>Result</t>
        </is>
      </c>
      <c r="B9" s="76" t="n"/>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9.xml><?xml version="1.0" encoding="utf-8"?>
<worksheet xmlns="http://schemas.openxmlformats.org/spreadsheetml/2006/main">
  <sheetPr filterMode="0">
    <tabColor rgb="00CD232F"/>
    <outlinePr summaryBelow="1" summaryRight="1"/>
    <pageSetUpPr fitToPage="0"/>
  </sheetPr>
  <dimension ref="A1:Q3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68" min="1" max="1"/>
    <col width="9" customWidth="1" style="68" min="2" max="2"/>
    <col width="12" customWidth="1" style="68" min="3" max="3"/>
    <col width="20" customWidth="1" style="68" min="4" max="4"/>
    <col width="12" customWidth="1" style="68" min="5" max="5"/>
    <col width="30" customWidth="1" style="68" min="6" max="6"/>
    <col width="34" customWidth="1" style="68" min="7" max="7"/>
    <col width="26" customWidth="1" style="68" min="8" max="8"/>
    <col width="14" customWidth="1" style="68" min="9" max="9"/>
    <col width="12" customWidth="1" style="68" min="10" max="11"/>
    <col width="10" customWidth="1" style="68" min="12" max="12"/>
    <col width="14" customWidth="1" style="68" min="13" max="13"/>
    <col width="12" customWidth="1" style="68" min="14" max="14"/>
    <col width="18" customWidth="1" style="68" min="15" max="15"/>
    <col width="14" customWidth="1" style="68" min="16" max="16"/>
    <col width="11" customWidth="1" style="68" min="17" max="17"/>
  </cols>
  <sheetData>
    <row r="1" ht="25.5" customHeight="1" s="38">
      <c r="A1" s="69" t="inlineStr">
        <is>
          <t>FINDING REGISTER</t>
        </is>
      </c>
    </row>
    <row r="2" ht="15.75" customHeight="1" s="38">
      <c r="A2" s="70" t="inlineStr">
        <is>
          <t>Three parts: requirement, evidence, gap. No name, no department, no recommendation.</t>
        </is>
      </c>
    </row>
    <row r="3"/>
    <row r="4" ht="30" customHeight="1" s="38">
      <c r="A4" s="74" t="inlineStr">
        <is>
          <t>Ref</t>
        </is>
      </c>
      <c r="B4" s="74" t="inlineStr">
        <is>
          <t>Audit ref</t>
        </is>
      </c>
      <c r="C4" s="74" t="inlineStr">
        <is>
          <t>Raised</t>
        </is>
      </c>
      <c r="D4" s="74" t="inlineStr">
        <is>
          <t>Process</t>
        </is>
      </c>
      <c r="E4" s="74" t="inlineStr">
        <is>
          <t>Class</t>
        </is>
      </c>
      <c r="F4" s="74" t="inlineStr">
        <is>
          <t>Requirement</t>
        </is>
      </c>
      <c r="G4" s="74" t="inlineStr">
        <is>
          <t>Evidence</t>
        </is>
      </c>
      <c r="H4" s="74" t="inlineStr">
        <is>
          <t>Gap</t>
        </is>
      </c>
      <c r="I4" s="74" t="inlineStr">
        <is>
          <t>Owner</t>
        </is>
      </c>
      <c r="J4" s="74" t="inlineStr">
        <is>
          <t>Due</t>
        </is>
      </c>
      <c r="K4" s="74" t="inlineStr">
        <is>
          <t>Status</t>
        </is>
      </c>
      <c r="L4" s="74" t="inlineStr">
        <is>
          <t>Days open</t>
        </is>
      </c>
      <c r="M4" s="74" t="inlineStr">
        <is>
          <t>Verified by</t>
        </is>
      </c>
      <c r="N4" s="74" t="inlineStr">
        <is>
          <t>Verified</t>
        </is>
      </c>
      <c r="O4" s="74" t="inlineStr">
        <is>
          <t>Check</t>
        </is>
      </c>
      <c r="P4" s="74" t="inlineStr">
        <is>
          <t>Raised by</t>
        </is>
      </c>
      <c r="Q4" s="74" t="inlineStr">
        <is>
          <t>Open age</t>
        </is>
      </c>
    </row>
    <row r="5" ht="33.75" customHeight="1" s="38">
      <c r="A5" s="75" t="n"/>
      <c r="B5" s="75" t="n"/>
      <c r="C5" s="77" t="n"/>
      <c r="D5" s="76" t="n"/>
      <c r="E5" s="75" t="n"/>
      <c r="F5" s="76" t="n"/>
      <c r="G5" s="76" t="n"/>
      <c r="H5" s="76" t="n"/>
      <c r="I5" s="76" t="n"/>
      <c r="J5" s="77" t="n"/>
      <c r="K5" s="75" t="n"/>
      <c r="L5" s="79">
        <f>IF(NOT(ISNUMBER(C5)),"",IF(ISNUMBER(N5),N5-C5,TODAY()-C5))</f>
        <v/>
      </c>
      <c r="M5" s="76" t="n"/>
      <c r="N5" s="77" t="n"/>
      <c r="O5" s="84">
        <f>IF(OR(M5="",P5=""),"",IF(EXACT(TRIM(M5),TRIM(P5)),"SELF-VERIFIED",""))</f>
        <v/>
      </c>
      <c r="P5" s="75" t="n"/>
      <c r="Q5" s="79">
        <f>IF(AND(K5="open",ISNUMBER(L5)),L5,"")</f>
        <v/>
      </c>
    </row>
    <row r="6" ht="33.75" customHeight="1" s="38">
      <c r="A6" s="80" t="n"/>
      <c r="B6" s="80" t="n"/>
      <c r="C6" s="82" t="n"/>
      <c r="D6" s="81" t="n"/>
      <c r="E6" s="80" t="n"/>
      <c r="F6" s="81" t="n"/>
      <c r="G6" s="81" t="n"/>
      <c r="H6" s="81" t="n"/>
      <c r="I6" s="81" t="n"/>
      <c r="J6" s="82" t="n"/>
      <c r="K6" s="80" t="n"/>
      <c r="L6" s="79">
        <f>IF(NOT(ISNUMBER(C6)),"",IF(ISNUMBER(N6),N6-C6,TODAY()-C6))</f>
        <v/>
      </c>
      <c r="M6" s="81" t="n"/>
      <c r="N6" s="82" t="n"/>
      <c r="O6" s="84">
        <f>IF(OR(M6="",P6=""),"",IF(EXACT(TRIM(M6),TRIM(P6)),"SELF-VERIFIED",""))</f>
        <v/>
      </c>
      <c r="P6" s="80" t="n"/>
      <c r="Q6" s="79">
        <f>IF(AND(K6="open",ISNUMBER(L6)),L6,"")</f>
        <v/>
      </c>
    </row>
    <row r="7" ht="33.75" customHeight="1" s="38">
      <c r="A7" s="75" t="n"/>
      <c r="B7" s="75" t="n"/>
      <c r="C7" s="77" t="n"/>
      <c r="D7" s="76" t="n"/>
      <c r="E7" s="75" t="n"/>
      <c r="F7" s="76" t="n"/>
      <c r="G7" s="76" t="n"/>
      <c r="H7" s="76" t="n"/>
      <c r="I7" s="76" t="n"/>
      <c r="J7" s="77" t="n"/>
      <c r="K7" s="75" t="n"/>
      <c r="L7" s="79">
        <f>IF(NOT(ISNUMBER(C7)),"",IF(ISNUMBER(N7),N7-C7,TODAY()-C7))</f>
        <v/>
      </c>
      <c r="M7" s="76" t="n"/>
      <c r="N7" s="77" t="n"/>
      <c r="O7" s="84">
        <f>IF(OR(M7="",P7=""),"",IF(EXACT(TRIM(M7),TRIM(P7)),"SELF-VERIFIED",""))</f>
        <v/>
      </c>
      <c r="P7" s="75" t="n"/>
      <c r="Q7" s="79">
        <f>IF(AND(K7="open",ISNUMBER(L7)),L7,"")</f>
        <v/>
      </c>
    </row>
    <row r="8" ht="33.75" customHeight="1" s="38">
      <c r="A8" s="80" t="n"/>
      <c r="B8" s="80" t="n"/>
      <c r="C8" s="82" t="n"/>
      <c r="D8" s="81" t="n"/>
      <c r="E8" s="80" t="n"/>
      <c r="F8" s="81" t="n"/>
      <c r="G8" s="81" t="n"/>
      <c r="H8" s="81" t="n"/>
      <c r="I8" s="81" t="n"/>
      <c r="J8" s="82" t="n"/>
      <c r="K8" s="80" t="n"/>
      <c r="L8" s="79">
        <f>IF(NOT(ISNUMBER(C8)),"",IF(ISNUMBER(N8),N8-C8,TODAY()-C8))</f>
        <v/>
      </c>
      <c r="M8" s="81" t="n"/>
      <c r="N8" s="82" t="n"/>
      <c r="O8" s="84">
        <f>IF(OR(M8="",P8=""),"",IF(EXACT(TRIM(M8),TRIM(P8)),"SELF-VERIFIED",""))</f>
        <v/>
      </c>
      <c r="P8" s="80" t="n"/>
      <c r="Q8" s="79">
        <f>IF(AND(K8="open",ISNUMBER(L8)),L8,"")</f>
        <v/>
      </c>
    </row>
    <row r="9" ht="33.75" customHeight="1" s="38">
      <c r="A9" s="75" t="n"/>
      <c r="B9" s="75" t="n"/>
      <c r="C9" s="77" t="n"/>
      <c r="D9" s="76" t="n"/>
      <c r="E9" s="75" t="n"/>
      <c r="F9" s="76" t="n"/>
      <c r="G9" s="76" t="n"/>
      <c r="H9" s="76" t="n"/>
      <c r="I9" s="76" t="n"/>
      <c r="J9" s="77" t="n"/>
      <c r="K9" s="75" t="n"/>
      <c r="L9" s="79">
        <f>IF(NOT(ISNUMBER(C9)),"",IF(ISNUMBER(N9),N9-C9,TODAY()-C9))</f>
        <v/>
      </c>
      <c r="M9" s="76" t="n"/>
      <c r="N9" s="77" t="n"/>
      <c r="O9" s="84">
        <f>IF(OR(M9="",P9=""),"",IF(EXACT(TRIM(M9),TRIM(P9)),"SELF-VERIFIED",""))</f>
        <v/>
      </c>
      <c r="P9" s="75" t="n"/>
      <c r="Q9" s="79">
        <f>IF(AND(K9="open",ISNUMBER(L9)),L9,"")</f>
        <v/>
      </c>
    </row>
    <row r="10" ht="33.75" customHeight="1" s="38">
      <c r="A10" s="80" t="n"/>
      <c r="B10" s="80" t="n"/>
      <c r="C10" s="82" t="n"/>
      <c r="D10" s="81" t="n"/>
      <c r="E10" s="80" t="n"/>
      <c r="F10" s="81" t="n"/>
      <c r="G10" s="81" t="n"/>
      <c r="H10" s="81" t="n"/>
      <c r="I10" s="81" t="n"/>
      <c r="J10" s="82" t="n"/>
      <c r="K10" s="80" t="n"/>
      <c r="L10" s="79">
        <f>IF(NOT(ISNUMBER(C10)),"",IF(ISNUMBER(N10),N10-C10,TODAY()-C10))</f>
        <v/>
      </c>
      <c r="M10" s="81" t="n"/>
      <c r="N10" s="82" t="n"/>
      <c r="O10" s="84">
        <f>IF(OR(M10="",P10=""),"",IF(EXACT(TRIM(M10),TRIM(P10)),"SELF-VERIFIED",""))</f>
        <v/>
      </c>
      <c r="P10" s="80" t="n"/>
      <c r="Q10" s="79">
        <f>IF(AND(K10="open",ISNUMBER(L10)),L10,"")</f>
        <v/>
      </c>
    </row>
    <row r="11" ht="33.75" customHeight="1" s="38">
      <c r="A11" s="75" t="n"/>
      <c r="B11" s="75" t="n"/>
      <c r="C11" s="77" t="n"/>
      <c r="D11" s="76" t="n"/>
      <c r="E11" s="75" t="n"/>
      <c r="F11" s="76" t="n"/>
      <c r="G11" s="76" t="n"/>
      <c r="H11" s="76" t="n"/>
      <c r="I11" s="76" t="n"/>
      <c r="J11" s="77" t="n"/>
      <c r="K11" s="75" t="n"/>
      <c r="L11" s="79">
        <f>IF(NOT(ISNUMBER(C11)),"",IF(ISNUMBER(N11),N11-C11,TODAY()-C11))</f>
        <v/>
      </c>
      <c r="M11" s="76" t="n"/>
      <c r="N11" s="77" t="n"/>
      <c r="O11" s="84">
        <f>IF(OR(M11="",P11=""),"",IF(EXACT(TRIM(M11),TRIM(P11)),"SELF-VERIFIED",""))</f>
        <v/>
      </c>
      <c r="P11" s="75" t="n"/>
      <c r="Q11" s="79">
        <f>IF(AND(K11="open",ISNUMBER(L11)),L11,"")</f>
        <v/>
      </c>
    </row>
    <row r="12" ht="33.75" customHeight="1" s="38">
      <c r="A12" s="80" t="n"/>
      <c r="B12" s="80" t="n"/>
      <c r="C12" s="82" t="n"/>
      <c r="D12" s="81" t="n"/>
      <c r="E12" s="80" t="n"/>
      <c r="F12" s="81" t="n"/>
      <c r="G12" s="81" t="n"/>
      <c r="H12" s="81" t="n"/>
      <c r="I12" s="81" t="n"/>
      <c r="J12" s="82" t="n"/>
      <c r="K12" s="80" t="n"/>
      <c r="L12" s="79">
        <f>IF(NOT(ISNUMBER(C12)),"",IF(ISNUMBER(N12),N12-C12,TODAY()-C12))</f>
        <v/>
      </c>
      <c r="M12" s="81" t="n"/>
      <c r="N12" s="82" t="n"/>
      <c r="O12" s="84">
        <f>IF(OR(M12="",P12=""),"",IF(EXACT(TRIM(M12),TRIM(P12)),"SELF-VERIFIED",""))</f>
        <v/>
      </c>
      <c r="P12" s="80" t="n"/>
      <c r="Q12" s="79">
        <f>IF(AND(K12="open",ISNUMBER(L12)),L12,"")</f>
        <v/>
      </c>
    </row>
    <row r="13" ht="33.75" customHeight="1" s="38">
      <c r="A13" s="75" t="n"/>
      <c r="B13" s="75" t="n"/>
      <c r="C13" s="77" t="n"/>
      <c r="D13" s="76" t="n"/>
      <c r="E13" s="75" t="n"/>
      <c r="F13" s="76" t="n"/>
      <c r="G13" s="76" t="n"/>
      <c r="H13" s="76" t="n"/>
      <c r="I13" s="76" t="n"/>
      <c r="J13" s="77" t="n"/>
      <c r="K13" s="75" t="n"/>
      <c r="L13" s="79">
        <f>IF(NOT(ISNUMBER(C13)),"",IF(ISNUMBER(N13),N13-C13,TODAY()-C13))</f>
        <v/>
      </c>
      <c r="M13" s="76" t="n"/>
      <c r="N13" s="77" t="n"/>
      <c r="O13" s="84">
        <f>IF(OR(M13="",P13=""),"",IF(EXACT(TRIM(M13),TRIM(P13)),"SELF-VERIFIED",""))</f>
        <v/>
      </c>
      <c r="P13" s="75" t="n"/>
      <c r="Q13" s="79">
        <f>IF(AND(K13="open",ISNUMBER(L13)),L13,"")</f>
        <v/>
      </c>
    </row>
    <row r="14" ht="33.75" customHeight="1" s="38">
      <c r="A14" s="80" t="n"/>
      <c r="B14" s="80" t="n"/>
      <c r="C14" s="82" t="n"/>
      <c r="D14" s="81" t="n"/>
      <c r="E14" s="80" t="n"/>
      <c r="F14" s="81" t="n"/>
      <c r="G14" s="81" t="n"/>
      <c r="H14" s="81" t="n"/>
      <c r="I14" s="81" t="n"/>
      <c r="J14" s="82" t="n"/>
      <c r="K14" s="80" t="n"/>
      <c r="L14" s="79">
        <f>IF(NOT(ISNUMBER(C14)),"",IF(ISNUMBER(N14),N14-C14,TODAY()-C14))</f>
        <v/>
      </c>
      <c r="M14" s="81" t="n"/>
      <c r="N14" s="82" t="n"/>
      <c r="O14" s="84">
        <f>IF(OR(M14="",P14=""),"",IF(EXACT(TRIM(M14),TRIM(P14)),"SELF-VERIFIED",""))</f>
        <v/>
      </c>
      <c r="P14" s="80" t="n"/>
      <c r="Q14" s="79">
        <f>IF(AND(K14="open",ISNUMBER(L14)),L14,"")</f>
        <v/>
      </c>
    </row>
    <row r="15" ht="33.75" customHeight="1" s="38">
      <c r="A15" s="75" t="n"/>
      <c r="B15" s="75" t="n"/>
      <c r="C15" s="77" t="n"/>
      <c r="D15" s="76" t="n"/>
      <c r="E15" s="75" t="n"/>
      <c r="F15" s="76" t="n"/>
      <c r="G15" s="76" t="n"/>
      <c r="H15" s="76" t="n"/>
      <c r="I15" s="76" t="n"/>
      <c r="J15" s="77" t="n"/>
      <c r="K15" s="75" t="n"/>
      <c r="L15" s="79">
        <f>IF(NOT(ISNUMBER(C15)),"",IF(ISNUMBER(N15),N15-C15,TODAY()-C15))</f>
        <v/>
      </c>
      <c r="M15" s="76" t="n"/>
      <c r="N15" s="77" t="n"/>
      <c r="O15" s="84">
        <f>IF(OR(M15="",P15=""),"",IF(EXACT(TRIM(M15),TRIM(P15)),"SELF-VERIFIED",""))</f>
        <v/>
      </c>
      <c r="P15" s="75" t="n"/>
      <c r="Q15" s="79">
        <f>IF(AND(K15="open",ISNUMBER(L15)),L15,"")</f>
        <v/>
      </c>
    </row>
    <row r="16" ht="33.75" customHeight="1" s="38">
      <c r="A16" s="80" t="n"/>
      <c r="B16" s="80" t="n"/>
      <c r="C16" s="82" t="n"/>
      <c r="D16" s="81" t="n"/>
      <c r="E16" s="80" t="n"/>
      <c r="F16" s="81" t="n"/>
      <c r="G16" s="81" t="n"/>
      <c r="H16" s="81" t="n"/>
      <c r="I16" s="81" t="n"/>
      <c r="J16" s="82" t="n"/>
      <c r="K16" s="80" t="n"/>
      <c r="L16" s="79">
        <f>IF(NOT(ISNUMBER(C16)),"",IF(ISNUMBER(N16),N16-C16,TODAY()-C16))</f>
        <v/>
      </c>
      <c r="M16" s="81" t="n"/>
      <c r="N16" s="82" t="n"/>
      <c r="O16" s="84">
        <f>IF(OR(M16="",P16=""),"",IF(EXACT(TRIM(M16),TRIM(P16)),"SELF-VERIFIED",""))</f>
        <v/>
      </c>
      <c r="P16" s="80" t="n"/>
      <c r="Q16" s="79">
        <f>IF(AND(K16="open",ISNUMBER(L16)),L16,"")</f>
        <v/>
      </c>
    </row>
    <row r="17" ht="33.75" customHeight="1" s="38">
      <c r="A17" s="75" t="n"/>
      <c r="B17" s="75" t="n"/>
      <c r="C17" s="77" t="n"/>
      <c r="D17" s="76" t="n"/>
      <c r="E17" s="75" t="n"/>
      <c r="F17" s="76" t="n"/>
      <c r="G17" s="76" t="n"/>
      <c r="H17" s="76" t="n"/>
      <c r="I17" s="76" t="n"/>
      <c r="J17" s="77" t="n"/>
      <c r="K17" s="75" t="n"/>
      <c r="L17" s="79">
        <f>IF(NOT(ISNUMBER(C17)),"",IF(ISNUMBER(N17),N17-C17,TODAY()-C17))</f>
        <v/>
      </c>
      <c r="M17" s="76" t="n"/>
      <c r="N17" s="77" t="n"/>
      <c r="O17" s="84">
        <f>IF(OR(M17="",P17=""),"",IF(EXACT(TRIM(M17),TRIM(P17)),"SELF-VERIFIED",""))</f>
        <v/>
      </c>
      <c r="P17" s="75" t="n"/>
      <c r="Q17" s="79">
        <f>IF(AND(K17="open",ISNUMBER(L17)),L17,"")</f>
        <v/>
      </c>
    </row>
    <row r="18" ht="33.75" customHeight="1" s="38">
      <c r="A18" s="80" t="n"/>
      <c r="B18" s="80" t="n"/>
      <c r="C18" s="82" t="n"/>
      <c r="D18" s="81" t="n"/>
      <c r="E18" s="80" t="n"/>
      <c r="F18" s="81" t="n"/>
      <c r="G18" s="81" t="n"/>
      <c r="H18" s="81" t="n"/>
      <c r="I18" s="81" t="n"/>
      <c r="J18" s="82" t="n"/>
      <c r="K18" s="80" t="n"/>
      <c r="L18" s="79">
        <f>IF(NOT(ISNUMBER(C18)),"",IF(ISNUMBER(N18),N18-C18,TODAY()-C18))</f>
        <v/>
      </c>
      <c r="M18" s="81" t="n"/>
      <c r="N18" s="82" t="n"/>
      <c r="O18" s="84">
        <f>IF(OR(M18="",P18=""),"",IF(EXACT(TRIM(M18),TRIM(P18)),"SELF-VERIFIED",""))</f>
        <v/>
      </c>
      <c r="P18" s="80" t="n"/>
      <c r="Q18" s="79">
        <f>IF(AND(K18="open",ISNUMBER(L18)),L18,"")</f>
        <v/>
      </c>
    </row>
    <row r="19" ht="33.75" customHeight="1" s="38">
      <c r="A19" s="75" t="n"/>
      <c r="B19" s="75" t="n"/>
      <c r="C19" s="77" t="n"/>
      <c r="D19" s="76" t="n"/>
      <c r="E19" s="75" t="n"/>
      <c r="F19" s="76" t="n"/>
      <c r="G19" s="76" t="n"/>
      <c r="H19" s="76" t="n"/>
      <c r="I19" s="76" t="n"/>
      <c r="J19" s="77" t="n"/>
      <c r="K19" s="75" t="n"/>
      <c r="L19" s="79">
        <f>IF(NOT(ISNUMBER(C19)),"",IF(ISNUMBER(N19),N19-C19,TODAY()-C19))</f>
        <v/>
      </c>
      <c r="M19" s="76" t="n"/>
      <c r="N19" s="77" t="n"/>
      <c r="O19" s="84">
        <f>IF(OR(M19="",P19=""),"",IF(EXACT(TRIM(M19),TRIM(P19)),"SELF-VERIFIED",""))</f>
        <v/>
      </c>
      <c r="P19" s="75" t="n"/>
      <c r="Q19" s="79">
        <f>IF(AND(K19="open",ISNUMBER(L19)),L19,"")</f>
        <v/>
      </c>
    </row>
    <row r="20" ht="33.75" customHeight="1" s="38">
      <c r="A20" s="80" t="n"/>
      <c r="B20" s="80" t="n"/>
      <c r="C20" s="82" t="n"/>
      <c r="D20" s="81" t="n"/>
      <c r="E20" s="80" t="n"/>
      <c r="F20" s="81" t="n"/>
      <c r="G20" s="81" t="n"/>
      <c r="H20" s="81" t="n"/>
      <c r="I20" s="81" t="n"/>
      <c r="J20" s="82" t="n"/>
      <c r="K20" s="80" t="n"/>
      <c r="L20" s="79">
        <f>IF(NOT(ISNUMBER(C20)),"",IF(ISNUMBER(N20),N20-C20,TODAY()-C20))</f>
        <v/>
      </c>
      <c r="M20" s="81" t="n"/>
      <c r="N20" s="82" t="n"/>
      <c r="O20" s="84">
        <f>IF(OR(M20="",P20=""),"",IF(EXACT(TRIM(M20),TRIM(P20)),"SELF-VERIFIED",""))</f>
        <v/>
      </c>
      <c r="P20" s="80" t="n"/>
      <c r="Q20" s="79">
        <f>IF(AND(K20="open",ISNUMBER(L20)),L20,"")</f>
        <v/>
      </c>
    </row>
    <row r="21" ht="33.75" customHeight="1" s="38">
      <c r="A21" s="75" t="n"/>
      <c r="B21" s="75" t="n"/>
      <c r="C21" s="77" t="n"/>
      <c r="D21" s="76" t="n"/>
      <c r="E21" s="75" t="n"/>
      <c r="F21" s="76" t="n"/>
      <c r="G21" s="76" t="n"/>
      <c r="H21" s="76" t="n"/>
      <c r="I21" s="76" t="n"/>
      <c r="J21" s="77" t="n"/>
      <c r="K21" s="75" t="n"/>
      <c r="L21" s="79">
        <f>IF(NOT(ISNUMBER(C21)),"",IF(ISNUMBER(N21),N21-C21,TODAY()-C21))</f>
        <v/>
      </c>
      <c r="M21" s="76" t="n"/>
      <c r="N21" s="77" t="n"/>
      <c r="O21" s="84">
        <f>IF(OR(M21="",P21=""),"",IF(EXACT(TRIM(M21),TRIM(P21)),"SELF-VERIFIED",""))</f>
        <v/>
      </c>
      <c r="P21" s="75" t="n"/>
      <c r="Q21" s="79">
        <f>IF(AND(K21="open",ISNUMBER(L21)),L21,"")</f>
        <v/>
      </c>
    </row>
    <row r="22" ht="33.75" customHeight="1" s="38">
      <c r="A22" s="80" t="n"/>
      <c r="B22" s="80" t="n"/>
      <c r="C22" s="82" t="n"/>
      <c r="D22" s="81" t="n"/>
      <c r="E22" s="80" t="n"/>
      <c r="F22" s="81" t="n"/>
      <c r="G22" s="81" t="n"/>
      <c r="H22" s="81" t="n"/>
      <c r="I22" s="81" t="n"/>
      <c r="J22" s="82" t="n"/>
      <c r="K22" s="80" t="n"/>
      <c r="L22" s="79">
        <f>IF(NOT(ISNUMBER(C22)),"",IF(ISNUMBER(N22),N22-C22,TODAY()-C22))</f>
        <v/>
      </c>
      <c r="M22" s="81" t="n"/>
      <c r="N22" s="82" t="n"/>
      <c r="O22" s="84">
        <f>IF(OR(M22="",P22=""),"",IF(EXACT(TRIM(M22),TRIM(P22)),"SELF-VERIFIED",""))</f>
        <v/>
      </c>
      <c r="P22" s="80" t="n"/>
      <c r="Q22" s="79">
        <f>IF(AND(K22="open",ISNUMBER(L22)),L22,"")</f>
        <v/>
      </c>
    </row>
    <row r="23" ht="33.75" customHeight="1" s="38">
      <c r="A23" s="75" t="n"/>
      <c r="B23" s="75" t="n"/>
      <c r="C23" s="77" t="n"/>
      <c r="D23" s="76" t="n"/>
      <c r="E23" s="75" t="n"/>
      <c r="F23" s="76" t="n"/>
      <c r="G23" s="76" t="n"/>
      <c r="H23" s="76" t="n"/>
      <c r="I23" s="76" t="n"/>
      <c r="J23" s="77" t="n"/>
      <c r="K23" s="75" t="n"/>
      <c r="L23" s="79">
        <f>IF(NOT(ISNUMBER(C23)),"",IF(ISNUMBER(N23),N23-C23,TODAY()-C23))</f>
        <v/>
      </c>
      <c r="M23" s="76" t="n"/>
      <c r="N23" s="77" t="n"/>
      <c r="O23" s="84">
        <f>IF(OR(M23="",P23=""),"",IF(EXACT(TRIM(M23),TRIM(P23)),"SELF-VERIFIED",""))</f>
        <v/>
      </c>
      <c r="P23" s="75" t="n"/>
      <c r="Q23" s="79">
        <f>IF(AND(K23="open",ISNUMBER(L23)),L23,"")</f>
        <v/>
      </c>
    </row>
    <row r="24" ht="33.75" customHeight="1" s="38">
      <c r="A24" s="80" t="n"/>
      <c r="B24" s="80" t="n"/>
      <c r="C24" s="82" t="n"/>
      <c r="D24" s="81" t="n"/>
      <c r="E24" s="80" t="n"/>
      <c r="F24" s="81" t="n"/>
      <c r="G24" s="81" t="n"/>
      <c r="H24" s="81" t="n"/>
      <c r="I24" s="81" t="n"/>
      <c r="J24" s="82" t="n"/>
      <c r="K24" s="80" t="n"/>
      <c r="L24" s="79">
        <f>IF(NOT(ISNUMBER(C24)),"",IF(ISNUMBER(N24),N24-C24,TODAY()-C24))</f>
        <v/>
      </c>
      <c r="M24" s="81" t="n"/>
      <c r="N24" s="82" t="n"/>
      <c r="O24" s="84">
        <f>IF(OR(M24="",P24=""),"",IF(EXACT(TRIM(M24),TRIM(P24)),"SELF-VERIFIED",""))</f>
        <v/>
      </c>
      <c r="P24" s="80" t="n"/>
      <c r="Q24" s="79">
        <f>IF(AND(K24="open",ISNUMBER(L24)),L24,"")</f>
        <v/>
      </c>
    </row>
    <row r="25" ht="33.75" customHeight="1" s="38">
      <c r="A25" s="75" t="n"/>
      <c r="B25" s="75" t="n"/>
      <c r="C25" s="77" t="n"/>
      <c r="D25" s="76" t="n"/>
      <c r="E25" s="75" t="n"/>
      <c r="F25" s="76" t="n"/>
      <c r="G25" s="76" t="n"/>
      <c r="H25" s="76" t="n"/>
      <c r="I25" s="76" t="n"/>
      <c r="J25" s="77" t="n"/>
      <c r="K25" s="75" t="n"/>
      <c r="L25" s="79">
        <f>IF(NOT(ISNUMBER(C25)),"",IF(ISNUMBER(N25),N25-C25,TODAY()-C25))</f>
        <v/>
      </c>
      <c r="M25" s="76" t="n"/>
      <c r="N25" s="77" t="n"/>
      <c r="O25" s="84">
        <f>IF(OR(M25="",P25=""),"",IF(EXACT(TRIM(M25),TRIM(P25)),"SELF-VERIFIED",""))</f>
        <v/>
      </c>
      <c r="P25" s="75" t="n"/>
      <c r="Q25" s="79">
        <f>IF(AND(K25="open",ISNUMBER(L25)),L25,"")</f>
        <v/>
      </c>
    </row>
    <row r="26" ht="33.75" customHeight="1" s="38">
      <c r="A26" s="80" t="n"/>
      <c r="B26" s="80" t="n"/>
      <c r="C26" s="82" t="n"/>
      <c r="D26" s="81" t="n"/>
      <c r="E26" s="80" t="n"/>
      <c r="F26" s="81" t="n"/>
      <c r="G26" s="81" t="n"/>
      <c r="H26" s="81" t="n"/>
      <c r="I26" s="81" t="n"/>
      <c r="J26" s="82" t="n"/>
      <c r="K26" s="80" t="n"/>
      <c r="L26" s="79">
        <f>IF(NOT(ISNUMBER(C26)),"",IF(ISNUMBER(N26),N26-C26,TODAY()-C26))</f>
        <v/>
      </c>
      <c r="M26" s="81" t="n"/>
      <c r="N26" s="82" t="n"/>
      <c r="O26" s="84">
        <f>IF(OR(M26="",P26=""),"",IF(EXACT(TRIM(M26),TRIM(P26)),"SELF-VERIFIED",""))</f>
        <v/>
      </c>
      <c r="P26" s="80" t="n"/>
      <c r="Q26" s="79">
        <f>IF(AND(K26="open",ISNUMBER(L26)),L26,"")</f>
        <v/>
      </c>
    </row>
    <row r="27" ht="33.75" customHeight="1" s="38">
      <c r="A27" s="75" t="n"/>
      <c r="B27" s="75" t="n"/>
      <c r="C27" s="77" t="n"/>
      <c r="D27" s="76" t="n"/>
      <c r="E27" s="75" t="n"/>
      <c r="F27" s="76" t="n"/>
      <c r="G27" s="76" t="n"/>
      <c r="H27" s="76" t="n"/>
      <c r="I27" s="76" t="n"/>
      <c r="J27" s="77" t="n"/>
      <c r="K27" s="75" t="n"/>
      <c r="L27" s="79">
        <f>IF(NOT(ISNUMBER(C27)),"",IF(ISNUMBER(N27),N27-C27,TODAY()-C27))</f>
        <v/>
      </c>
      <c r="M27" s="76" t="n"/>
      <c r="N27" s="77" t="n"/>
      <c r="O27" s="84">
        <f>IF(OR(M27="",P27=""),"",IF(EXACT(TRIM(M27),TRIM(P27)),"SELF-VERIFIED",""))</f>
        <v/>
      </c>
      <c r="P27" s="75" t="n"/>
      <c r="Q27" s="79">
        <f>IF(AND(K27="open",ISNUMBER(L27)),L27,"")</f>
        <v/>
      </c>
    </row>
    <row r="28" ht="33.75" customHeight="1" s="38">
      <c r="A28" s="80" t="n"/>
      <c r="B28" s="80" t="n"/>
      <c r="C28" s="82" t="n"/>
      <c r="D28" s="81" t="n"/>
      <c r="E28" s="80" t="n"/>
      <c r="F28" s="81" t="n"/>
      <c r="G28" s="81" t="n"/>
      <c r="H28" s="81" t="n"/>
      <c r="I28" s="81" t="n"/>
      <c r="J28" s="82" t="n"/>
      <c r="K28" s="80" t="n"/>
      <c r="L28" s="79">
        <f>IF(NOT(ISNUMBER(C28)),"",IF(ISNUMBER(N28),N28-C28,TODAY()-C28))</f>
        <v/>
      </c>
      <c r="M28" s="81" t="n"/>
      <c r="N28" s="82" t="n"/>
      <c r="O28" s="84">
        <f>IF(OR(M28="",P28=""),"",IF(EXACT(TRIM(M28),TRIM(P28)),"SELF-VERIFIED",""))</f>
        <v/>
      </c>
      <c r="P28" s="80" t="n"/>
      <c r="Q28" s="79">
        <f>IF(AND(K28="open",ISNUMBER(L28)),L28,"")</f>
        <v/>
      </c>
    </row>
    <row r="29" ht="33.75" customHeight="1" s="38">
      <c r="A29" s="75" t="n"/>
      <c r="B29" s="75" t="n"/>
      <c r="C29" s="77" t="n"/>
      <c r="D29" s="76" t="n"/>
      <c r="E29" s="75" t="n"/>
      <c r="F29" s="76" t="n"/>
      <c r="G29" s="76" t="n"/>
      <c r="H29" s="76" t="n"/>
      <c r="I29" s="76" t="n"/>
      <c r="J29" s="77" t="n"/>
      <c r="K29" s="75" t="n"/>
      <c r="L29" s="79">
        <f>IF(NOT(ISNUMBER(C29)),"",IF(ISNUMBER(N29),N29-C29,TODAY()-C29))</f>
        <v/>
      </c>
      <c r="M29" s="76" t="n"/>
      <c r="N29" s="77" t="n"/>
      <c r="O29" s="84">
        <f>IF(OR(M29="",P29=""),"",IF(EXACT(TRIM(M29),TRIM(P29)),"SELF-VERIFIED",""))</f>
        <v/>
      </c>
      <c r="P29" s="75" t="n"/>
      <c r="Q29" s="79">
        <f>IF(AND(K29="open",ISNUMBER(L29)),L29,"")</f>
        <v/>
      </c>
    </row>
    <row r="30" ht="33.75" customHeight="1" s="38">
      <c r="A30" s="80" t="n"/>
      <c r="B30" s="80" t="n"/>
      <c r="C30" s="82" t="n"/>
      <c r="D30" s="81" t="n"/>
      <c r="E30" s="80" t="n"/>
      <c r="F30" s="81" t="n"/>
      <c r="G30" s="81" t="n"/>
      <c r="H30" s="81" t="n"/>
      <c r="I30" s="81" t="n"/>
      <c r="J30" s="82" t="n"/>
      <c r="K30" s="80" t="n"/>
      <c r="L30" s="79">
        <f>IF(NOT(ISNUMBER(C30)),"",IF(ISNUMBER(N30),N30-C30,TODAY()-C30))</f>
        <v/>
      </c>
      <c r="M30" s="81" t="n"/>
      <c r="N30" s="82" t="n"/>
      <c r="O30" s="84">
        <f>IF(OR(M30="",P30=""),"",IF(EXACT(TRIM(M30),TRIM(P30)),"SELF-VERIFIED",""))</f>
        <v/>
      </c>
      <c r="P30" s="80" t="n"/>
      <c r="Q30" s="79">
        <f>IF(AND(K30="open",ISNUMBER(L30)),L30,"")</f>
        <v/>
      </c>
    </row>
    <row r="31" ht="33.75" customHeight="1" s="38">
      <c r="A31" s="75" t="n"/>
      <c r="B31" s="75" t="n"/>
      <c r="C31" s="77" t="n"/>
      <c r="D31" s="76" t="n"/>
      <c r="E31" s="75" t="n"/>
      <c r="F31" s="76" t="n"/>
      <c r="G31" s="76" t="n"/>
      <c r="H31" s="76" t="n"/>
      <c r="I31" s="76" t="n"/>
      <c r="J31" s="77" t="n"/>
      <c r="K31" s="75" t="n"/>
      <c r="L31" s="79">
        <f>IF(NOT(ISNUMBER(C31)),"",IF(ISNUMBER(N31),N31-C31,TODAY()-C31))</f>
        <v/>
      </c>
      <c r="M31" s="76" t="n"/>
      <c r="N31" s="77" t="n"/>
      <c r="O31" s="84">
        <f>IF(OR(M31="",P31=""),"",IF(EXACT(TRIM(M31),TRIM(P31)),"SELF-VERIFIED",""))</f>
        <v/>
      </c>
      <c r="P31" s="75" t="n"/>
      <c r="Q31" s="79">
        <f>IF(AND(K31="open",ISNUMBER(L31)),L31,"")</f>
        <v/>
      </c>
    </row>
    <row r="32" ht="33.75" customHeight="1" s="38">
      <c r="A32" s="80" t="n"/>
      <c r="B32" s="80" t="n"/>
      <c r="C32" s="82" t="n"/>
      <c r="D32" s="81" t="n"/>
      <c r="E32" s="80" t="n"/>
      <c r="F32" s="81" t="n"/>
      <c r="G32" s="81" t="n"/>
      <c r="H32" s="81" t="n"/>
      <c r="I32" s="81" t="n"/>
      <c r="J32" s="82" t="n"/>
      <c r="K32" s="80" t="n"/>
      <c r="L32" s="79">
        <f>IF(NOT(ISNUMBER(C32)),"",IF(ISNUMBER(N32),N32-C32,TODAY()-C32))</f>
        <v/>
      </c>
      <c r="M32" s="81" t="n"/>
      <c r="N32" s="82" t="n"/>
      <c r="O32" s="84">
        <f>IF(OR(M32="",P32=""),"",IF(EXACT(TRIM(M32),TRIM(P32)),"SELF-VERIFIED",""))</f>
        <v/>
      </c>
      <c r="P32" s="80" t="n"/>
      <c r="Q32" s="79">
        <f>IF(AND(K32="open",ISNUMBER(L32)),L32,"")</f>
        <v/>
      </c>
    </row>
    <row r="33" ht="33.75" customHeight="1" s="38">
      <c r="A33" s="75" t="n"/>
      <c r="B33" s="75" t="n"/>
      <c r="C33" s="77" t="n"/>
      <c r="D33" s="76" t="n"/>
      <c r="E33" s="75" t="n"/>
      <c r="F33" s="76" t="n"/>
      <c r="G33" s="76" t="n"/>
      <c r="H33" s="76" t="n"/>
      <c r="I33" s="76" t="n"/>
      <c r="J33" s="77" t="n"/>
      <c r="K33" s="75" t="n"/>
      <c r="L33" s="79">
        <f>IF(NOT(ISNUMBER(C33)),"",IF(ISNUMBER(N33),N33-C33,TODAY()-C33))</f>
        <v/>
      </c>
      <c r="M33" s="76" t="n"/>
      <c r="N33" s="77" t="n"/>
      <c r="O33" s="84">
        <f>IF(OR(M33="",P33=""),"",IF(EXACT(TRIM(M33),TRIM(P33)),"SELF-VERIFIED",""))</f>
        <v/>
      </c>
      <c r="P33" s="75" t="n"/>
      <c r="Q33" s="79">
        <f>IF(AND(K33="open",ISNUMBER(L33)),L33,"")</f>
        <v/>
      </c>
    </row>
    <row r="34" ht="33.75" customHeight="1" s="38">
      <c r="A34" s="80" t="n"/>
      <c r="B34" s="80" t="n"/>
      <c r="C34" s="82" t="n"/>
      <c r="D34" s="81" t="n"/>
      <c r="E34" s="80" t="n"/>
      <c r="F34" s="81" t="n"/>
      <c r="G34" s="81" t="n"/>
      <c r="H34" s="81" t="n"/>
      <c r="I34" s="81" t="n"/>
      <c r="J34" s="82" t="n"/>
      <c r="K34" s="80" t="n"/>
      <c r="L34" s="79">
        <f>IF(NOT(ISNUMBER(C34)),"",IF(ISNUMBER(N34),N34-C34,TODAY()-C34))</f>
        <v/>
      </c>
      <c r="M34" s="81" t="n"/>
      <c r="N34" s="82" t="n"/>
      <c r="O34" s="84">
        <f>IF(OR(M34="",P34=""),"",IF(EXACT(TRIM(M34),TRIM(P34)),"SELF-VERIFIED",""))</f>
        <v/>
      </c>
      <c r="P34" s="80" t="n"/>
      <c r="Q34" s="79">
        <f>IF(AND(K34="open",ISNUMBER(L34)),L34,"")</f>
        <v/>
      </c>
    </row>
    <row r="35" ht="33.75" customHeight="1" s="38">
      <c r="A35" s="75" t="n"/>
      <c r="B35" s="75" t="n"/>
      <c r="C35" s="77" t="n"/>
      <c r="D35" s="76" t="n"/>
      <c r="E35" s="75" t="n"/>
      <c r="F35" s="76" t="n"/>
      <c r="G35" s="76" t="n"/>
      <c r="H35" s="76" t="n"/>
      <c r="I35" s="76" t="n"/>
      <c r="J35" s="77" t="n"/>
      <c r="K35" s="75" t="n"/>
      <c r="L35" s="79">
        <f>IF(NOT(ISNUMBER(C35)),"",IF(ISNUMBER(N35),N35-C35,TODAY()-C35))</f>
        <v/>
      </c>
      <c r="M35" s="76" t="n"/>
      <c r="N35" s="77" t="n"/>
      <c r="O35" s="84">
        <f>IF(OR(M35="",P35=""),"",IF(EXACT(TRIM(M35),TRIM(P35)),"SELF-VERIFIED",""))</f>
        <v/>
      </c>
      <c r="P35" s="75" t="n"/>
      <c r="Q35" s="79">
        <f>IF(AND(K35="open",ISNUMBER(L35)),L35,"")</f>
        <v/>
      </c>
    </row>
    <row r="36" ht="33.75" customHeight="1" s="38">
      <c r="A36" s="80" t="n"/>
      <c r="B36" s="80" t="n"/>
      <c r="C36" s="82" t="n"/>
      <c r="D36" s="81" t="n"/>
      <c r="E36" s="80" t="n"/>
      <c r="F36" s="81" t="n"/>
      <c r="G36" s="81" t="n"/>
      <c r="H36" s="81" t="n"/>
      <c r="I36" s="81" t="n"/>
      <c r="J36" s="82" t="n"/>
      <c r="K36" s="80" t="n"/>
      <c r="L36" s="79">
        <f>IF(NOT(ISNUMBER(C36)),"",IF(ISNUMBER(N36),N36-C36,TODAY()-C36))</f>
        <v/>
      </c>
      <c r="M36" s="81" t="n"/>
      <c r="N36" s="82" t="n"/>
      <c r="O36" s="84">
        <f>IF(OR(M36="",P36=""),"",IF(EXACT(TRIM(M36),TRIM(P36)),"SELF-VERIFIED",""))</f>
        <v/>
      </c>
      <c r="P36" s="80" t="n"/>
      <c r="Q36" s="79">
        <f>IF(AND(K36="open",ISNUMBER(L36)),L36,"")</f>
        <v/>
      </c>
    </row>
    <row r="37" ht="33.75" customHeight="1" s="38">
      <c r="A37" s="75" t="n"/>
      <c r="B37" s="75" t="n"/>
      <c r="C37" s="77" t="n"/>
      <c r="D37" s="76" t="n"/>
      <c r="E37" s="75" t="n"/>
      <c r="F37" s="76" t="n"/>
      <c r="G37" s="76" t="n"/>
      <c r="H37" s="76" t="n"/>
      <c r="I37" s="76" t="n"/>
      <c r="J37" s="77" t="n"/>
      <c r="K37" s="75" t="n"/>
      <c r="L37" s="79">
        <f>IF(NOT(ISNUMBER(C37)),"",IF(ISNUMBER(N37),N37-C37,TODAY()-C37))</f>
        <v/>
      </c>
      <c r="M37" s="76" t="n"/>
      <c r="N37" s="77" t="n"/>
      <c r="O37" s="84">
        <f>IF(OR(M37="",P37=""),"",IF(EXACT(TRIM(M37),TRIM(P37)),"SELF-VERIFIED",""))</f>
        <v/>
      </c>
      <c r="P37" s="75" t="n"/>
      <c r="Q37" s="79">
        <f>IF(AND(K37="open",ISNUMBER(L37)),L37,"")</f>
        <v/>
      </c>
    </row>
    <row r="38" ht="33.75" customHeight="1" s="38">
      <c r="A38" s="80" t="n"/>
      <c r="B38" s="80" t="n"/>
      <c r="C38" s="82" t="n"/>
      <c r="D38" s="81" t="n"/>
      <c r="E38" s="80" t="n"/>
      <c r="F38" s="81" t="n"/>
      <c r="G38" s="81" t="n"/>
      <c r="H38" s="81" t="n"/>
      <c r="I38" s="81" t="n"/>
      <c r="J38" s="82" t="n"/>
      <c r="K38" s="80" t="n"/>
      <c r="L38" s="79">
        <f>IF(NOT(ISNUMBER(C38)),"",IF(ISNUMBER(N38),N38-C38,TODAY()-C38))</f>
        <v/>
      </c>
      <c r="M38" s="81" t="n"/>
      <c r="N38" s="82" t="n"/>
      <c r="O38" s="84">
        <f>IF(OR(M38="",P38=""),"",IF(EXACT(TRIM(M38),TRIM(P38)),"SELF-VERIFIED",""))</f>
        <v/>
      </c>
      <c r="P38" s="80" t="n"/>
      <c r="Q38" s="79">
        <f>IF(AND(K38="open",ISNUMBER(L38)),L38,"")</f>
        <v/>
      </c>
    </row>
    <row r="39" ht="33.75" customHeight="1" s="38">
      <c r="A39" s="75" t="n"/>
      <c r="B39" s="75" t="n"/>
      <c r="C39" s="77" t="n"/>
      <c r="D39" s="76" t="n"/>
      <c r="E39" s="75" t="n"/>
      <c r="F39" s="76" t="n"/>
      <c r="G39" s="76" t="n"/>
      <c r="H39" s="76" t="n"/>
      <c r="I39" s="76" t="n"/>
      <c r="J39" s="77" t="n"/>
      <c r="K39" s="75" t="n"/>
      <c r="L39" s="79">
        <f>IF(NOT(ISNUMBER(C39)),"",IF(ISNUMBER(N39),N39-C39,TODAY()-C39))</f>
        <v/>
      </c>
      <c r="M39" s="76" t="n"/>
      <c r="N39" s="77" t="n"/>
      <c r="O39" s="84">
        <f>IF(OR(M39="",P39=""),"",IF(EXACT(TRIM(M39),TRIM(P39)),"SELF-VERIFIED",""))</f>
        <v/>
      </c>
      <c r="P39" s="75" t="n"/>
      <c r="Q39" s="79">
        <f>IF(AND(K39="open",ISNUMBER(L39)),L39,"")</f>
        <v/>
      </c>
    </row>
    <row r="40" ht="33.75" customHeight="1" s="38">
      <c r="A40" s="80" t="n"/>
      <c r="B40" s="80" t="n"/>
      <c r="C40" s="82" t="n"/>
      <c r="D40" s="81" t="n"/>
      <c r="E40" s="80" t="n"/>
      <c r="F40" s="81" t="n"/>
      <c r="G40" s="81" t="n"/>
      <c r="H40" s="81" t="n"/>
      <c r="I40" s="81" t="n"/>
      <c r="J40" s="82" t="n"/>
      <c r="K40" s="80" t="n"/>
      <c r="L40" s="79">
        <f>IF(NOT(ISNUMBER(C40)),"",IF(ISNUMBER(N40),N40-C40,TODAY()-C40))</f>
        <v/>
      </c>
      <c r="M40" s="81" t="n"/>
      <c r="N40" s="82" t="n"/>
      <c r="O40" s="84">
        <f>IF(OR(M40="",P40=""),"",IF(EXACT(TRIM(M40),TRIM(P40)),"SELF-VERIFIED",""))</f>
        <v/>
      </c>
      <c r="P40" s="80" t="n"/>
      <c r="Q40" s="79">
        <f>IF(AND(K40="open",ISNUMBER(L40)),L40,"")</f>
        <v/>
      </c>
    </row>
    <row r="41" ht="33.75" customHeight="1" s="38">
      <c r="A41" s="75" t="n"/>
      <c r="B41" s="75" t="n"/>
      <c r="C41" s="77" t="n"/>
      <c r="D41" s="76" t="n"/>
      <c r="E41" s="75" t="n"/>
      <c r="F41" s="76" t="n"/>
      <c r="G41" s="76" t="n"/>
      <c r="H41" s="76" t="n"/>
      <c r="I41" s="76" t="n"/>
      <c r="J41" s="77" t="n"/>
      <c r="K41" s="75" t="n"/>
      <c r="L41" s="79">
        <f>IF(NOT(ISNUMBER(C41)),"",IF(ISNUMBER(N41),N41-C41,TODAY()-C41))</f>
        <v/>
      </c>
      <c r="M41" s="76" t="n"/>
      <c r="N41" s="77" t="n"/>
      <c r="O41" s="84">
        <f>IF(OR(M41="",P41=""),"",IF(EXACT(TRIM(M41),TRIM(P41)),"SELF-VERIFIED",""))</f>
        <v/>
      </c>
      <c r="P41" s="75" t="n"/>
      <c r="Q41" s="79">
        <f>IF(AND(K41="open",ISNUMBER(L41)),L41,"")</f>
        <v/>
      </c>
    </row>
    <row r="42" ht="33.75" customHeight="1" s="38">
      <c r="A42" s="80" t="n"/>
      <c r="B42" s="80" t="n"/>
      <c r="C42" s="82" t="n"/>
      <c r="D42" s="81" t="n"/>
      <c r="E42" s="80" t="n"/>
      <c r="F42" s="81" t="n"/>
      <c r="G42" s="81" t="n"/>
      <c r="H42" s="81" t="n"/>
      <c r="I42" s="81" t="n"/>
      <c r="J42" s="82" t="n"/>
      <c r="K42" s="80" t="n"/>
      <c r="L42" s="79">
        <f>IF(NOT(ISNUMBER(C42)),"",IF(ISNUMBER(N42),N42-C42,TODAY()-C42))</f>
        <v/>
      </c>
      <c r="M42" s="81" t="n"/>
      <c r="N42" s="82" t="n"/>
      <c r="O42" s="84">
        <f>IF(OR(M42="",P42=""),"",IF(EXACT(TRIM(M42),TRIM(P42)),"SELF-VERIFIED",""))</f>
        <v/>
      </c>
      <c r="P42" s="80" t="n"/>
      <c r="Q42" s="79">
        <f>IF(AND(K42="open",ISNUMBER(L42)),L42,"")</f>
        <v/>
      </c>
    </row>
    <row r="43" ht="33.75" customHeight="1" s="38">
      <c r="A43" s="75" t="n"/>
      <c r="B43" s="75" t="n"/>
      <c r="C43" s="77" t="n"/>
      <c r="D43" s="76" t="n"/>
      <c r="E43" s="75" t="n"/>
      <c r="F43" s="76" t="n"/>
      <c r="G43" s="76" t="n"/>
      <c r="H43" s="76" t="n"/>
      <c r="I43" s="76" t="n"/>
      <c r="J43" s="77" t="n"/>
      <c r="K43" s="75" t="n"/>
      <c r="L43" s="79">
        <f>IF(NOT(ISNUMBER(C43)),"",IF(ISNUMBER(N43),N43-C43,TODAY()-C43))</f>
        <v/>
      </c>
      <c r="M43" s="76" t="n"/>
      <c r="N43" s="77" t="n"/>
      <c r="O43" s="84">
        <f>IF(OR(M43="",P43=""),"",IF(EXACT(TRIM(M43),TRIM(P43)),"SELF-VERIFIED",""))</f>
        <v/>
      </c>
      <c r="P43" s="75" t="n"/>
      <c r="Q43" s="79">
        <f>IF(AND(K43="open",ISNUMBER(L43)),L43,"")</f>
        <v/>
      </c>
    </row>
    <row r="44" ht="33.75" customHeight="1" s="38">
      <c r="A44" s="80" t="n"/>
      <c r="B44" s="80" t="n"/>
      <c r="C44" s="82" t="n"/>
      <c r="D44" s="81" t="n"/>
      <c r="E44" s="80" t="n"/>
      <c r="F44" s="81" t="n"/>
      <c r="G44" s="81" t="n"/>
      <c r="H44" s="81" t="n"/>
      <c r="I44" s="81" t="n"/>
      <c r="J44" s="82" t="n"/>
      <c r="K44" s="80" t="n"/>
      <c r="L44" s="79">
        <f>IF(NOT(ISNUMBER(C44)),"",IF(ISNUMBER(N44),N44-C44,TODAY()-C44))</f>
        <v/>
      </c>
      <c r="M44" s="81" t="n"/>
      <c r="N44" s="82" t="n"/>
      <c r="O44" s="84">
        <f>IF(OR(M44="",P44=""),"",IF(EXACT(TRIM(M44),TRIM(P44)),"SELF-VERIFIED",""))</f>
        <v/>
      </c>
      <c r="P44" s="80" t="n"/>
      <c r="Q44" s="79">
        <f>IF(AND(K44="open",ISNUMBER(L44)),L44,"")</f>
        <v/>
      </c>
    </row>
    <row r="45" ht="33.75" customHeight="1" s="38">
      <c r="A45" s="75" t="n"/>
      <c r="B45" s="75" t="n"/>
      <c r="C45" s="77" t="n"/>
      <c r="D45" s="76" t="n"/>
      <c r="E45" s="75" t="n"/>
      <c r="F45" s="76" t="n"/>
      <c r="G45" s="76" t="n"/>
      <c r="H45" s="76" t="n"/>
      <c r="I45" s="76" t="n"/>
      <c r="J45" s="77" t="n"/>
      <c r="K45" s="75" t="n"/>
      <c r="L45" s="79">
        <f>IF(NOT(ISNUMBER(C45)),"",IF(ISNUMBER(N45),N45-C45,TODAY()-C45))</f>
        <v/>
      </c>
      <c r="M45" s="76" t="n"/>
      <c r="N45" s="77" t="n"/>
      <c r="O45" s="84">
        <f>IF(OR(M45="",P45=""),"",IF(EXACT(TRIM(M45),TRIM(P45)),"SELF-VERIFIED",""))</f>
        <v/>
      </c>
      <c r="P45" s="75" t="n"/>
      <c r="Q45" s="79">
        <f>IF(AND(K45="open",ISNUMBER(L45)),L45,"")</f>
        <v/>
      </c>
    </row>
    <row r="46" ht="33.75" customHeight="1" s="38">
      <c r="A46" s="80" t="n"/>
      <c r="B46" s="80" t="n"/>
      <c r="C46" s="82" t="n"/>
      <c r="D46" s="81" t="n"/>
      <c r="E46" s="80" t="n"/>
      <c r="F46" s="81" t="n"/>
      <c r="G46" s="81" t="n"/>
      <c r="H46" s="81" t="n"/>
      <c r="I46" s="81" t="n"/>
      <c r="J46" s="82" t="n"/>
      <c r="K46" s="80" t="n"/>
      <c r="L46" s="79">
        <f>IF(NOT(ISNUMBER(C46)),"",IF(ISNUMBER(N46),N46-C46,TODAY()-C46))</f>
        <v/>
      </c>
      <c r="M46" s="81" t="n"/>
      <c r="N46" s="82" t="n"/>
      <c r="O46" s="84">
        <f>IF(OR(M46="",P46=""),"",IF(EXACT(TRIM(M46),TRIM(P46)),"SELF-VERIFIED",""))</f>
        <v/>
      </c>
      <c r="P46" s="80" t="n"/>
      <c r="Q46" s="79">
        <f>IF(AND(K46="open",ISNUMBER(L46)),L46,"")</f>
        <v/>
      </c>
    </row>
    <row r="47" ht="33.75" customHeight="1" s="38">
      <c r="A47" s="75" t="n"/>
      <c r="B47" s="75" t="n"/>
      <c r="C47" s="77" t="n"/>
      <c r="D47" s="76" t="n"/>
      <c r="E47" s="75" t="n"/>
      <c r="F47" s="76" t="n"/>
      <c r="G47" s="76" t="n"/>
      <c r="H47" s="76" t="n"/>
      <c r="I47" s="76" t="n"/>
      <c r="J47" s="77" t="n"/>
      <c r="K47" s="75" t="n"/>
      <c r="L47" s="79">
        <f>IF(NOT(ISNUMBER(C47)),"",IF(ISNUMBER(N47),N47-C47,TODAY()-C47))</f>
        <v/>
      </c>
      <c r="M47" s="76" t="n"/>
      <c r="N47" s="77" t="n"/>
      <c r="O47" s="84">
        <f>IF(OR(M47="",P47=""),"",IF(EXACT(TRIM(M47),TRIM(P47)),"SELF-VERIFIED",""))</f>
        <v/>
      </c>
      <c r="P47" s="75" t="n"/>
      <c r="Q47" s="79">
        <f>IF(AND(K47="open",ISNUMBER(L47)),L47,"")</f>
        <v/>
      </c>
    </row>
    <row r="48" ht="33.75" customHeight="1" s="38">
      <c r="A48" s="80" t="n"/>
      <c r="B48" s="80" t="n"/>
      <c r="C48" s="82" t="n"/>
      <c r="D48" s="81" t="n"/>
      <c r="E48" s="80" t="n"/>
      <c r="F48" s="81" t="n"/>
      <c r="G48" s="81" t="n"/>
      <c r="H48" s="81" t="n"/>
      <c r="I48" s="81" t="n"/>
      <c r="J48" s="82" t="n"/>
      <c r="K48" s="80" t="n"/>
      <c r="L48" s="79">
        <f>IF(NOT(ISNUMBER(C48)),"",IF(ISNUMBER(N48),N48-C48,TODAY()-C48))</f>
        <v/>
      </c>
      <c r="M48" s="81" t="n"/>
      <c r="N48" s="82" t="n"/>
      <c r="O48" s="84">
        <f>IF(OR(M48="",P48=""),"",IF(EXACT(TRIM(M48),TRIM(P48)),"SELF-VERIFIED",""))</f>
        <v/>
      </c>
      <c r="P48" s="80" t="n"/>
      <c r="Q48" s="79">
        <f>IF(AND(K48="open",ISNUMBER(L48)),L48,"")</f>
        <v/>
      </c>
    </row>
    <row r="49" ht="33.75" customHeight="1" s="38">
      <c r="A49" s="75" t="n"/>
      <c r="B49" s="75" t="n"/>
      <c r="C49" s="77" t="n"/>
      <c r="D49" s="76" t="n"/>
      <c r="E49" s="75" t="n"/>
      <c r="F49" s="76" t="n"/>
      <c r="G49" s="76" t="n"/>
      <c r="H49" s="76" t="n"/>
      <c r="I49" s="76" t="n"/>
      <c r="J49" s="77" t="n"/>
      <c r="K49" s="75" t="n"/>
      <c r="L49" s="79">
        <f>IF(NOT(ISNUMBER(C49)),"",IF(ISNUMBER(N49),N49-C49,TODAY()-C49))</f>
        <v/>
      </c>
      <c r="M49" s="76" t="n"/>
      <c r="N49" s="77" t="n"/>
      <c r="O49" s="84">
        <f>IF(OR(M49="",P49=""),"",IF(EXACT(TRIM(M49),TRIM(P49)),"SELF-VERIFIED",""))</f>
        <v/>
      </c>
      <c r="P49" s="75" t="n"/>
      <c r="Q49" s="79">
        <f>IF(AND(K49="open",ISNUMBER(L49)),L49,"")</f>
        <v/>
      </c>
    </row>
    <row r="50" ht="33.75" customHeight="1" s="38">
      <c r="A50" s="80" t="n"/>
      <c r="B50" s="80" t="n"/>
      <c r="C50" s="82" t="n"/>
      <c r="D50" s="81" t="n"/>
      <c r="E50" s="80" t="n"/>
      <c r="F50" s="81" t="n"/>
      <c r="G50" s="81" t="n"/>
      <c r="H50" s="81" t="n"/>
      <c r="I50" s="81" t="n"/>
      <c r="J50" s="82" t="n"/>
      <c r="K50" s="80" t="n"/>
      <c r="L50" s="79">
        <f>IF(NOT(ISNUMBER(C50)),"",IF(ISNUMBER(N50),N50-C50,TODAY()-C50))</f>
        <v/>
      </c>
      <c r="M50" s="81" t="n"/>
      <c r="N50" s="82" t="n"/>
      <c r="O50" s="84">
        <f>IF(OR(M50="",P50=""),"",IF(EXACT(TRIM(M50),TRIM(P50)),"SELF-VERIFIED",""))</f>
        <v/>
      </c>
      <c r="P50" s="80" t="n"/>
      <c r="Q50" s="79">
        <f>IF(AND(K50="open",ISNUMBER(L50)),L50,"")</f>
        <v/>
      </c>
    </row>
    <row r="51" ht="33.75" customHeight="1" s="38">
      <c r="A51" s="75" t="n"/>
      <c r="B51" s="75" t="n"/>
      <c r="C51" s="77" t="n"/>
      <c r="D51" s="76" t="n"/>
      <c r="E51" s="75" t="n"/>
      <c r="F51" s="76" t="n"/>
      <c r="G51" s="76" t="n"/>
      <c r="H51" s="76" t="n"/>
      <c r="I51" s="76" t="n"/>
      <c r="J51" s="77" t="n"/>
      <c r="K51" s="75" t="n"/>
      <c r="L51" s="79">
        <f>IF(NOT(ISNUMBER(C51)),"",IF(ISNUMBER(N51),N51-C51,TODAY()-C51))</f>
        <v/>
      </c>
      <c r="M51" s="76" t="n"/>
      <c r="N51" s="77" t="n"/>
      <c r="O51" s="84">
        <f>IF(OR(M51="",P51=""),"",IF(EXACT(TRIM(M51),TRIM(P51)),"SELF-VERIFIED",""))</f>
        <v/>
      </c>
      <c r="P51" s="75" t="n"/>
      <c r="Q51" s="79">
        <f>IF(AND(K51="open",ISNUMBER(L51)),L51,"")</f>
        <v/>
      </c>
    </row>
    <row r="52" ht="33.75" customHeight="1" s="38">
      <c r="A52" s="80" t="n"/>
      <c r="B52" s="80" t="n"/>
      <c r="C52" s="82" t="n"/>
      <c r="D52" s="81" t="n"/>
      <c r="E52" s="80" t="n"/>
      <c r="F52" s="81" t="n"/>
      <c r="G52" s="81" t="n"/>
      <c r="H52" s="81" t="n"/>
      <c r="I52" s="81" t="n"/>
      <c r="J52" s="82" t="n"/>
      <c r="K52" s="80" t="n"/>
      <c r="L52" s="79">
        <f>IF(NOT(ISNUMBER(C52)),"",IF(ISNUMBER(N52),N52-C52,TODAY()-C52))</f>
        <v/>
      </c>
      <c r="M52" s="81" t="n"/>
      <c r="N52" s="82" t="n"/>
      <c r="O52" s="84">
        <f>IF(OR(M52="",P52=""),"",IF(EXACT(TRIM(M52),TRIM(P52)),"SELF-VERIFIED",""))</f>
        <v/>
      </c>
      <c r="P52" s="80" t="n"/>
      <c r="Q52" s="79">
        <f>IF(AND(K52="open",ISNUMBER(L52)),L52,"")</f>
        <v/>
      </c>
    </row>
    <row r="53" ht="33.75" customHeight="1" s="38">
      <c r="A53" s="75" t="n"/>
      <c r="B53" s="75" t="n"/>
      <c r="C53" s="77" t="n"/>
      <c r="D53" s="76" t="n"/>
      <c r="E53" s="75" t="n"/>
      <c r="F53" s="76" t="n"/>
      <c r="G53" s="76" t="n"/>
      <c r="H53" s="76" t="n"/>
      <c r="I53" s="76" t="n"/>
      <c r="J53" s="77" t="n"/>
      <c r="K53" s="75" t="n"/>
      <c r="L53" s="79">
        <f>IF(NOT(ISNUMBER(C53)),"",IF(ISNUMBER(N53),N53-C53,TODAY()-C53))</f>
        <v/>
      </c>
      <c r="M53" s="76" t="n"/>
      <c r="N53" s="77" t="n"/>
      <c r="O53" s="84">
        <f>IF(OR(M53="",P53=""),"",IF(EXACT(TRIM(M53),TRIM(P53)),"SELF-VERIFIED",""))</f>
        <v/>
      </c>
      <c r="P53" s="75" t="n"/>
      <c r="Q53" s="79">
        <f>IF(AND(K53="open",ISNUMBER(L53)),L53,"")</f>
        <v/>
      </c>
    </row>
    <row r="54" ht="33.75" customHeight="1" s="38">
      <c r="A54" s="80" t="n"/>
      <c r="B54" s="80" t="n"/>
      <c r="C54" s="82" t="n"/>
      <c r="D54" s="81" t="n"/>
      <c r="E54" s="80" t="n"/>
      <c r="F54" s="81" t="n"/>
      <c r="G54" s="81" t="n"/>
      <c r="H54" s="81" t="n"/>
      <c r="I54" s="81" t="n"/>
      <c r="J54" s="82" t="n"/>
      <c r="K54" s="80" t="n"/>
      <c r="L54" s="79">
        <f>IF(NOT(ISNUMBER(C54)),"",IF(ISNUMBER(N54),N54-C54,TODAY()-C54))</f>
        <v/>
      </c>
      <c r="M54" s="81" t="n"/>
      <c r="N54" s="82" t="n"/>
      <c r="O54" s="84">
        <f>IF(OR(M54="",P54=""),"",IF(EXACT(TRIM(M54),TRIM(P54)),"SELF-VERIFIED",""))</f>
        <v/>
      </c>
      <c r="P54" s="80" t="n"/>
      <c r="Q54" s="79">
        <f>IF(AND(K54="open",ISNUMBER(L54)),L54,"")</f>
        <v/>
      </c>
    </row>
    <row r="55" ht="33.75" customHeight="1" s="38">
      <c r="A55" s="75" t="n"/>
      <c r="B55" s="75" t="n"/>
      <c r="C55" s="77" t="n"/>
      <c r="D55" s="76" t="n"/>
      <c r="E55" s="75" t="n"/>
      <c r="F55" s="76" t="n"/>
      <c r="G55" s="76" t="n"/>
      <c r="H55" s="76" t="n"/>
      <c r="I55" s="76" t="n"/>
      <c r="J55" s="77" t="n"/>
      <c r="K55" s="75" t="n"/>
      <c r="L55" s="79">
        <f>IF(NOT(ISNUMBER(C55)),"",IF(ISNUMBER(N55),N55-C55,TODAY()-C55))</f>
        <v/>
      </c>
      <c r="M55" s="76" t="n"/>
      <c r="N55" s="77" t="n"/>
      <c r="O55" s="84">
        <f>IF(OR(M55="",P55=""),"",IF(EXACT(TRIM(M55),TRIM(P55)),"SELF-VERIFIED",""))</f>
        <v/>
      </c>
      <c r="P55" s="75" t="n"/>
      <c r="Q55" s="79">
        <f>IF(AND(K55="open",ISNUMBER(L55)),L55,"")</f>
        <v/>
      </c>
    </row>
    <row r="56" ht="33.75" customHeight="1" s="38">
      <c r="A56" s="80" t="n"/>
      <c r="B56" s="80" t="n"/>
      <c r="C56" s="82" t="n"/>
      <c r="D56" s="81" t="n"/>
      <c r="E56" s="80" t="n"/>
      <c r="F56" s="81" t="n"/>
      <c r="G56" s="81" t="n"/>
      <c r="H56" s="81" t="n"/>
      <c r="I56" s="81" t="n"/>
      <c r="J56" s="82" t="n"/>
      <c r="K56" s="80" t="n"/>
      <c r="L56" s="79">
        <f>IF(NOT(ISNUMBER(C56)),"",IF(ISNUMBER(N56),N56-C56,TODAY()-C56))</f>
        <v/>
      </c>
      <c r="M56" s="81" t="n"/>
      <c r="N56" s="82" t="n"/>
      <c r="O56" s="84">
        <f>IF(OR(M56="",P56=""),"",IF(EXACT(TRIM(M56),TRIM(P56)),"SELF-VERIFIED",""))</f>
        <v/>
      </c>
      <c r="P56" s="80" t="n"/>
      <c r="Q56" s="79">
        <f>IF(AND(K56="open",ISNUMBER(L56)),L56,"")</f>
        <v/>
      </c>
    </row>
    <row r="57" ht="33.75" customHeight="1" s="38">
      <c r="A57" s="75" t="n"/>
      <c r="B57" s="75" t="n"/>
      <c r="C57" s="77" t="n"/>
      <c r="D57" s="76" t="n"/>
      <c r="E57" s="75" t="n"/>
      <c r="F57" s="76" t="n"/>
      <c r="G57" s="76" t="n"/>
      <c r="H57" s="76" t="n"/>
      <c r="I57" s="76" t="n"/>
      <c r="J57" s="77" t="n"/>
      <c r="K57" s="75" t="n"/>
      <c r="L57" s="79">
        <f>IF(NOT(ISNUMBER(C57)),"",IF(ISNUMBER(N57),N57-C57,TODAY()-C57))</f>
        <v/>
      </c>
      <c r="M57" s="76" t="n"/>
      <c r="N57" s="77" t="n"/>
      <c r="O57" s="84">
        <f>IF(OR(M57="",P57=""),"",IF(EXACT(TRIM(M57),TRIM(P57)),"SELF-VERIFIED",""))</f>
        <v/>
      </c>
      <c r="P57" s="75" t="n"/>
      <c r="Q57" s="79">
        <f>IF(AND(K57="open",ISNUMBER(L57)),L57,"")</f>
        <v/>
      </c>
    </row>
    <row r="58" ht="33.75" customHeight="1" s="38">
      <c r="A58" s="80" t="n"/>
      <c r="B58" s="80" t="n"/>
      <c r="C58" s="82" t="n"/>
      <c r="D58" s="81" t="n"/>
      <c r="E58" s="80" t="n"/>
      <c r="F58" s="81" t="n"/>
      <c r="G58" s="81" t="n"/>
      <c r="H58" s="81" t="n"/>
      <c r="I58" s="81" t="n"/>
      <c r="J58" s="82" t="n"/>
      <c r="K58" s="80" t="n"/>
      <c r="L58" s="79">
        <f>IF(NOT(ISNUMBER(C58)),"",IF(ISNUMBER(N58),N58-C58,TODAY()-C58))</f>
        <v/>
      </c>
      <c r="M58" s="81" t="n"/>
      <c r="N58" s="82" t="n"/>
      <c r="O58" s="84">
        <f>IF(OR(M58="",P58=""),"",IF(EXACT(TRIM(M58),TRIM(P58)),"SELF-VERIFIED",""))</f>
        <v/>
      </c>
      <c r="P58" s="80" t="n"/>
      <c r="Q58" s="79">
        <f>IF(AND(K58="open",ISNUMBER(L58)),L58,"")</f>
        <v/>
      </c>
    </row>
    <row r="59" ht="33.75" customHeight="1" s="38">
      <c r="A59" s="75" t="n"/>
      <c r="B59" s="75" t="n"/>
      <c r="C59" s="77" t="n"/>
      <c r="D59" s="76" t="n"/>
      <c r="E59" s="75" t="n"/>
      <c r="F59" s="76" t="n"/>
      <c r="G59" s="76" t="n"/>
      <c r="H59" s="76" t="n"/>
      <c r="I59" s="76" t="n"/>
      <c r="J59" s="77" t="n"/>
      <c r="K59" s="75" t="n"/>
      <c r="L59" s="79">
        <f>IF(NOT(ISNUMBER(C59)),"",IF(ISNUMBER(N59),N59-C59,TODAY()-C59))</f>
        <v/>
      </c>
      <c r="M59" s="76" t="n"/>
      <c r="N59" s="77" t="n"/>
      <c r="O59" s="84">
        <f>IF(OR(M59="",P59=""),"",IF(EXACT(TRIM(M59),TRIM(P59)),"SELF-VERIFIED",""))</f>
        <v/>
      </c>
      <c r="P59" s="75" t="n"/>
      <c r="Q59" s="79">
        <f>IF(AND(K59="open",ISNUMBER(L59)),L59,"")</f>
        <v/>
      </c>
    </row>
    <row r="60" ht="33.75" customHeight="1" s="38">
      <c r="A60" s="80" t="n"/>
      <c r="B60" s="80" t="n"/>
      <c r="C60" s="82" t="n"/>
      <c r="D60" s="81" t="n"/>
      <c r="E60" s="80" t="n"/>
      <c r="F60" s="81" t="n"/>
      <c r="G60" s="81" t="n"/>
      <c r="H60" s="81" t="n"/>
      <c r="I60" s="81" t="n"/>
      <c r="J60" s="82" t="n"/>
      <c r="K60" s="80" t="n"/>
      <c r="L60" s="79">
        <f>IF(NOT(ISNUMBER(C60)),"",IF(ISNUMBER(N60),N60-C60,TODAY()-C60))</f>
        <v/>
      </c>
      <c r="M60" s="81" t="n"/>
      <c r="N60" s="82" t="n"/>
      <c r="O60" s="84">
        <f>IF(OR(M60="",P60=""),"",IF(EXACT(TRIM(M60),TRIM(P60)),"SELF-VERIFIED",""))</f>
        <v/>
      </c>
      <c r="P60" s="80" t="n"/>
      <c r="Q60" s="79">
        <f>IF(AND(K60="open",ISNUMBER(L60)),L60,"")</f>
        <v/>
      </c>
    </row>
    <row r="61" ht="33.75" customHeight="1" s="38">
      <c r="A61" s="75" t="n"/>
      <c r="B61" s="75" t="n"/>
      <c r="C61" s="77" t="n"/>
      <c r="D61" s="76" t="n"/>
      <c r="E61" s="75" t="n"/>
      <c r="F61" s="76" t="n"/>
      <c r="G61" s="76" t="n"/>
      <c r="H61" s="76" t="n"/>
      <c r="I61" s="76" t="n"/>
      <c r="J61" s="77" t="n"/>
      <c r="K61" s="75" t="n"/>
      <c r="L61" s="79">
        <f>IF(NOT(ISNUMBER(C61)),"",IF(ISNUMBER(N61),N61-C61,TODAY()-C61))</f>
        <v/>
      </c>
      <c r="M61" s="76" t="n"/>
      <c r="N61" s="77" t="n"/>
      <c r="O61" s="84">
        <f>IF(OR(M61="",P61=""),"",IF(EXACT(TRIM(M61),TRIM(P61)),"SELF-VERIFIED",""))</f>
        <v/>
      </c>
      <c r="P61" s="75" t="n"/>
      <c r="Q61" s="79">
        <f>IF(AND(K61="open",ISNUMBER(L61)),L61,"")</f>
        <v/>
      </c>
    </row>
    <row r="62" ht="33.75" customHeight="1" s="38">
      <c r="A62" s="80" t="n"/>
      <c r="B62" s="80" t="n"/>
      <c r="C62" s="82" t="n"/>
      <c r="D62" s="81" t="n"/>
      <c r="E62" s="80" t="n"/>
      <c r="F62" s="81" t="n"/>
      <c r="G62" s="81" t="n"/>
      <c r="H62" s="81" t="n"/>
      <c r="I62" s="81" t="n"/>
      <c r="J62" s="82" t="n"/>
      <c r="K62" s="80" t="n"/>
      <c r="L62" s="79">
        <f>IF(NOT(ISNUMBER(C62)),"",IF(ISNUMBER(N62),N62-C62,TODAY()-C62))</f>
        <v/>
      </c>
      <c r="M62" s="81" t="n"/>
      <c r="N62" s="82" t="n"/>
      <c r="O62" s="84">
        <f>IF(OR(M62="",P62=""),"",IF(EXACT(TRIM(M62),TRIM(P62)),"SELF-VERIFIED",""))</f>
        <v/>
      </c>
      <c r="P62" s="80" t="n"/>
      <c r="Q62" s="79">
        <f>IF(AND(K62="open",ISNUMBER(L62)),L62,"")</f>
        <v/>
      </c>
    </row>
    <row r="63" ht="33.75" customHeight="1" s="38">
      <c r="A63" s="75" t="n"/>
      <c r="B63" s="75" t="n"/>
      <c r="C63" s="77" t="n"/>
      <c r="D63" s="76" t="n"/>
      <c r="E63" s="75" t="n"/>
      <c r="F63" s="76" t="n"/>
      <c r="G63" s="76" t="n"/>
      <c r="H63" s="76" t="n"/>
      <c r="I63" s="76" t="n"/>
      <c r="J63" s="77" t="n"/>
      <c r="K63" s="75" t="n"/>
      <c r="L63" s="79">
        <f>IF(NOT(ISNUMBER(C63)),"",IF(ISNUMBER(N63),N63-C63,TODAY()-C63))</f>
        <v/>
      </c>
      <c r="M63" s="76" t="n"/>
      <c r="N63" s="77" t="n"/>
      <c r="O63" s="84">
        <f>IF(OR(M63="",P63=""),"",IF(EXACT(TRIM(M63),TRIM(P63)),"SELF-VERIFIED",""))</f>
        <v/>
      </c>
      <c r="P63" s="75" t="n"/>
      <c r="Q63" s="79">
        <f>IF(AND(K63="open",ISNUMBER(L63)),L63,"")</f>
        <v/>
      </c>
    </row>
    <row r="64" ht="33.75" customHeight="1" s="38">
      <c r="A64" s="80" t="n"/>
      <c r="B64" s="80" t="n"/>
      <c r="C64" s="82" t="n"/>
      <c r="D64" s="81" t="n"/>
      <c r="E64" s="80" t="n"/>
      <c r="F64" s="81" t="n"/>
      <c r="G64" s="81" t="n"/>
      <c r="H64" s="81" t="n"/>
      <c r="I64" s="81" t="n"/>
      <c r="J64" s="82" t="n"/>
      <c r="K64" s="80" t="n"/>
      <c r="L64" s="79">
        <f>IF(NOT(ISNUMBER(C64)),"",IF(ISNUMBER(N64),N64-C64,TODAY()-C64))</f>
        <v/>
      </c>
      <c r="M64" s="81" t="n"/>
      <c r="N64" s="82" t="n"/>
      <c r="O64" s="84">
        <f>IF(OR(M64="",P64=""),"",IF(EXACT(TRIM(M64),TRIM(P64)),"SELF-VERIFIED",""))</f>
        <v/>
      </c>
      <c r="P64" s="80" t="n"/>
      <c r="Q64" s="79">
        <f>IF(AND(K64="open",ISNUMBER(L64)),L64,"")</f>
        <v/>
      </c>
    </row>
    <row r="65" ht="33.75" customHeight="1" s="38">
      <c r="A65" s="75" t="n"/>
      <c r="B65" s="75" t="n"/>
      <c r="C65" s="77" t="n"/>
      <c r="D65" s="76" t="n"/>
      <c r="E65" s="75" t="n"/>
      <c r="F65" s="76" t="n"/>
      <c r="G65" s="76" t="n"/>
      <c r="H65" s="76" t="n"/>
      <c r="I65" s="76" t="n"/>
      <c r="J65" s="77" t="n"/>
      <c r="K65" s="75" t="n"/>
      <c r="L65" s="79">
        <f>IF(NOT(ISNUMBER(C65)),"",IF(ISNUMBER(N65),N65-C65,TODAY()-C65))</f>
        <v/>
      </c>
      <c r="M65" s="76" t="n"/>
      <c r="N65" s="77" t="n"/>
      <c r="O65" s="84">
        <f>IF(OR(M65="",P65=""),"",IF(EXACT(TRIM(M65),TRIM(P65)),"SELF-VERIFIED",""))</f>
        <v/>
      </c>
      <c r="P65" s="75" t="n"/>
      <c r="Q65" s="79">
        <f>IF(AND(K65="open",ISNUMBER(L65)),L65,"")</f>
        <v/>
      </c>
    </row>
    <row r="66" ht="33.75" customHeight="1" s="38">
      <c r="A66" s="80" t="n"/>
      <c r="B66" s="80" t="n"/>
      <c r="C66" s="82" t="n"/>
      <c r="D66" s="81" t="n"/>
      <c r="E66" s="80" t="n"/>
      <c r="F66" s="81" t="n"/>
      <c r="G66" s="81" t="n"/>
      <c r="H66" s="81" t="n"/>
      <c r="I66" s="81" t="n"/>
      <c r="J66" s="82" t="n"/>
      <c r="K66" s="80" t="n"/>
      <c r="L66" s="79">
        <f>IF(NOT(ISNUMBER(C66)),"",IF(ISNUMBER(N66),N66-C66,TODAY()-C66))</f>
        <v/>
      </c>
      <c r="M66" s="81" t="n"/>
      <c r="N66" s="82" t="n"/>
      <c r="O66" s="84">
        <f>IF(OR(M66="",P66=""),"",IF(EXACT(TRIM(M66),TRIM(P66)),"SELF-VERIFIED",""))</f>
        <v/>
      </c>
      <c r="P66" s="80" t="n"/>
      <c r="Q66" s="79">
        <f>IF(AND(K66="open",ISNUMBER(L66)),L66,"")</f>
        <v/>
      </c>
    </row>
    <row r="67" ht="33.75" customHeight="1" s="38">
      <c r="A67" s="75" t="n"/>
      <c r="B67" s="75" t="n"/>
      <c r="C67" s="77" t="n"/>
      <c r="D67" s="76" t="n"/>
      <c r="E67" s="75" t="n"/>
      <c r="F67" s="76" t="n"/>
      <c r="G67" s="76" t="n"/>
      <c r="H67" s="76" t="n"/>
      <c r="I67" s="76" t="n"/>
      <c r="J67" s="77" t="n"/>
      <c r="K67" s="75" t="n"/>
      <c r="L67" s="79">
        <f>IF(NOT(ISNUMBER(C67)),"",IF(ISNUMBER(N67),N67-C67,TODAY()-C67))</f>
        <v/>
      </c>
      <c r="M67" s="76" t="n"/>
      <c r="N67" s="77" t="n"/>
      <c r="O67" s="84">
        <f>IF(OR(M67="",P67=""),"",IF(EXACT(TRIM(M67),TRIM(P67)),"SELF-VERIFIED",""))</f>
        <v/>
      </c>
      <c r="P67" s="75" t="n"/>
      <c r="Q67" s="79">
        <f>IF(AND(K67="open",ISNUMBER(L67)),L67,"")</f>
        <v/>
      </c>
    </row>
    <row r="68" ht="33.75" customHeight="1" s="38">
      <c r="A68" s="80" t="n"/>
      <c r="B68" s="80" t="n"/>
      <c r="C68" s="82" t="n"/>
      <c r="D68" s="81" t="n"/>
      <c r="E68" s="80" t="n"/>
      <c r="F68" s="81" t="n"/>
      <c r="G68" s="81" t="n"/>
      <c r="H68" s="81" t="n"/>
      <c r="I68" s="81" t="n"/>
      <c r="J68" s="82" t="n"/>
      <c r="K68" s="80" t="n"/>
      <c r="L68" s="79">
        <f>IF(NOT(ISNUMBER(C68)),"",IF(ISNUMBER(N68),N68-C68,TODAY()-C68))</f>
        <v/>
      </c>
      <c r="M68" s="81" t="n"/>
      <c r="N68" s="82" t="n"/>
      <c r="O68" s="84">
        <f>IF(OR(M68="",P68=""),"",IF(EXACT(TRIM(M68),TRIM(P68)),"SELF-VERIFIED",""))</f>
        <v/>
      </c>
      <c r="P68" s="80" t="n"/>
      <c r="Q68" s="79">
        <f>IF(AND(K68="open",ISNUMBER(L68)),L68,"")</f>
        <v/>
      </c>
    </row>
    <row r="69" ht="33.75" customHeight="1" s="38">
      <c r="A69" s="75" t="n"/>
      <c r="B69" s="75" t="n"/>
      <c r="C69" s="77" t="n"/>
      <c r="D69" s="76" t="n"/>
      <c r="E69" s="75" t="n"/>
      <c r="F69" s="76" t="n"/>
      <c r="G69" s="76" t="n"/>
      <c r="H69" s="76" t="n"/>
      <c r="I69" s="76" t="n"/>
      <c r="J69" s="77" t="n"/>
      <c r="K69" s="75" t="n"/>
      <c r="L69" s="79">
        <f>IF(NOT(ISNUMBER(C69)),"",IF(ISNUMBER(N69),N69-C69,TODAY()-C69))</f>
        <v/>
      </c>
      <c r="M69" s="76" t="n"/>
      <c r="N69" s="77" t="n"/>
      <c r="O69" s="84">
        <f>IF(OR(M69="",P69=""),"",IF(EXACT(TRIM(M69),TRIM(P69)),"SELF-VERIFIED",""))</f>
        <v/>
      </c>
      <c r="P69" s="75" t="n"/>
      <c r="Q69" s="79">
        <f>IF(AND(K69="open",ISNUMBER(L69)),L69,"")</f>
        <v/>
      </c>
    </row>
    <row r="70" ht="33.75" customHeight="1" s="38">
      <c r="A70" s="80" t="n"/>
      <c r="B70" s="80" t="n"/>
      <c r="C70" s="82" t="n"/>
      <c r="D70" s="81" t="n"/>
      <c r="E70" s="80" t="n"/>
      <c r="F70" s="81" t="n"/>
      <c r="G70" s="81" t="n"/>
      <c r="H70" s="81" t="n"/>
      <c r="I70" s="81" t="n"/>
      <c r="J70" s="82" t="n"/>
      <c r="K70" s="80" t="n"/>
      <c r="L70" s="79">
        <f>IF(NOT(ISNUMBER(C70)),"",IF(ISNUMBER(N70),N70-C70,TODAY()-C70))</f>
        <v/>
      </c>
      <c r="M70" s="81" t="n"/>
      <c r="N70" s="82" t="n"/>
      <c r="O70" s="84">
        <f>IF(OR(M70="",P70=""),"",IF(EXACT(TRIM(M70),TRIM(P70)),"SELF-VERIFIED",""))</f>
        <v/>
      </c>
      <c r="P70" s="80" t="n"/>
      <c r="Q70" s="79">
        <f>IF(AND(K70="open",ISNUMBER(L70)),L70,"")</f>
        <v/>
      </c>
    </row>
    <row r="71" ht="33.75" customHeight="1" s="38">
      <c r="A71" s="75" t="n"/>
      <c r="B71" s="75" t="n"/>
      <c r="C71" s="77" t="n"/>
      <c r="D71" s="76" t="n"/>
      <c r="E71" s="75" t="n"/>
      <c r="F71" s="76" t="n"/>
      <c r="G71" s="76" t="n"/>
      <c r="H71" s="76" t="n"/>
      <c r="I71" s="76" t="n"/>
      <c r="J71" s="77" t="n"/>
      <c r="K71" s="75" t="n"/>
      <c r="L71" s="79">
        <f>IF(NOT(ISNUMBER(C71)),"",IF(ISNUMBER(N71),N71-C71,TODAY()-C71))</f>
        <v/>
      </c>
      <c r="M71" s="76" t="n"/>
      <c r="N71" s="77" t="n"/>
      <c r="O71" s="84">
        <f>IF(OR(M71="",P71=""),"",IF(EXACT(TRIM(M71),TRIM(P71)),"SELF-VERIFIED",""))</f>
        <v/>
      </c>
      <c r="P71" s="75" t="n"/>
      <c r="Q71" s="79">
        <f>IF(AND(K71="open",ISNUMBER(L71)),L71,"")</f>
        <v/>
      </c>
    </row>
    <row r="72" ht="33.75" customHeight="1" s="38">
      <c r="A72" s="80" t="n"/>
      <c r="B72" s="80" t="n"/>
      <c r="C72" s="82" t="n"/>
      <c r="D72" s="81" t="n"/>
      <c r="E72" s="80" t="n"/>
      <c r="F72" s="81" t="n"/>
      <c r="G72" s="81" t="n"/>
      <c r="H72" s="81" t="n"/>
      <c r="I72" s="81" t="n"/>
      <c r="J72" s="82" t="n"/>
      <c r="K72" s="80" t="n"/>
      <c r="L72" s="79">
        <f>IF(NOT(ISNUMBER(C72)),"",IF(ISNUMBER(N72),N72-C72,TODAY()-C72))</f>
        <v/>
      </c>
      <c r="M72" s="81" t="n"/>
      <c r="N72" s="82" t="n"/>
      <c r="O72" s="84">
        <f>IF(OR(M72="",P72=""),"",IF(EXACT(TRIM(M72),TRIM(P72)),"SELF-VERIFIED",""))</f>
        <v/>
      </c>
      <c r="P72" s="80" t="n"/>
      <c r="Q72" s="79">
        <f>IF(AND(K72="open",ISNUMBER(L72)),L72,"")</f>
        <v/>
      </c>
    </row>
    <row r="73" ht="33.75" customHeight="1" s="38">
      <c r="A73" s="75" t="n"/>
      <c r="B73" s="75" t="n"/>
      <c r="C73" s="77" t="n"/>
      <c r="D73" s="76" t="n"/>
      <c r="E73" s="75" t="n"/>
      <c r="F73" s="76" t="n"/>
      <c r="G73" s="76" t="n"/>
      <c r="H73" s="76" t="n"/>
      <c r="I73" s="76" t="n"/>
      <c r="J73" s="77" t="n"/>
      <c r="K73" s="75" t="n"/>
      <c r="L73" s="79">
        <f>IF(NOT(ISNUMBER(C73)),"",IF(ISNUMBER(N73),N73-C73,TODAY()-C73))</f>
        <v/>
      </c>
      <c r="M73" s="76" t="n"/>
      <c r="N73" s="77" t="n"/>
      <c r="O73" s="84">
        <f>IF(OR(M73="",P73=""),"",IF(EXACT(TRIM(M73),TRIM(P73)),"SELF-VERIFIED",""))</f>
        <v/>
      </c>
      <c r="P73" s="75" t="n"/>
      <c r="Q73" s="79">
        <f>IF(AND(K73="open",ISNUMBER(L73)),L73,"")</f>
        <v/>
      </c>
    </row>
    <row r="74" ht="33.75" customHeight="1" s="38">
      <c r="A74" s="80" t="n"/>
      <c r="B74" s="80" t="n"/>
      <c r="C74" s="82" t="n"/>
      <c r="D74" s="81" t="n"/>
      <c r="E74" s="80" t="n"/>
      <c r="F74" s="81" t="n"/>
      <c r="G74" s="81" t="n"/>
      <c r="H74" s="81" t="n"/>
      <c r="I74" s="81" t="n"/>
      <c r="J74" s="82" t="n"/>
      <c r="K74" s="80" t="n"/>
      <c r="L74" s="79">
        <f>IF(NOT(ISNUMBER(C74)),"",IF(ISNUMBER(N74),N74-C74,TODAY()-C74))</f>
        <v/>
      </c>
      <c r="M74" s="81" t="n"/>
      <c r="N74" s="82" t="n"/>
      <c r="O74" s="84">
        <f>IF(OR(M74="",P74=""),"",IF(EXACT(TRIM(M74),TRIM(P74)),"SELF-VERIFIED",""))</f>
        <v/>
      </c>
      <c r="P74" s="80" t="n"/>
      <c r="Q74" s="79">
        <f>IF(AND(K74="open",ISNUMBER(L74)),L74,"")</f>
        <v/>
      </c>
    </row>
    <row r="75" ht="33.75" customHeight="1" s="38">
      <c r="A75" s="75" t="n"/>
      <c r="B75" s="75" t="n"/>
      <c r="C75" s="77" t="n"/>
      <c r="D75" s="76" t="n"/>
      <c r="E75" s="75" t="n"/>
      <c r="F75" s="76" t="n"/>
      <c r="G75" s="76" t="n"/>
      <c r="H75" s="76" t="n"/>
      <c r="I75" s="76" t="n"/>
      <c r="J75" s="77" t="n"/>
      <c r="K75" s="75" t="n"/>
      <c r="L75" s="79">
        <f>IF(NOT(ISNUMBER(C75)),"",IF(ISNUMBER(N75),N75-C75,TODAY()-C75))</f>
        <v/>
      </c>
      <c r="M75" s="76" t="n"/>
      <c r="N75" s="77" t="n"/>
      <c r="O75" s="84">
        <f>IF(OR(M75="",P75=""),"",IF(EXACT(TRIM(M75),TRIM(P75)),"SELF-VERIFIED",""))</f>
        <v/>
      </c>
      <c r="P75" s="75" t="n"/>
      <c r="Q75" s="79">
        <f>IF(AND(K75="open",ISNUMBER(L75)),L75,"")</f>
        <v/>
      </c>
    </row>
    <row r="76" ht="33.75" customHeight="1" s="38">
      <c r="A76" s="80" t="n"/>
      <c r="B76" s="80" t="n"/>
      <c r="C76" s="82" t="n"/>
      <c r="D76" s="81" t="n"/>
      <c r="E76" s="80" t="n"/>
      <c r="F76" s="81" t="n"/>
      <c r="G76" s="81" t="n"/>
      <c r="H76" s="81" t="n"/>
      <c r="I76" s="81" t="n"/>
      <c r="J76" s="82" t="n"/>
      <c r="K76" s="80" t="n"/>
      <c r="L76" s="79">
        <f>IF(NOT(ISNUMBER(C76)),"",IF(ISNUMBER(N76),N76-C76,TODAY()-C76))</f>
        <v/>
      </c>
      <c r="M76" s="81" t="n"/>
      <c r="N76" s="82" t="n"/>
      <c r="O76" s="84">
        <f>IF(OR(M76="",P76=""),"",IF(EXACT(TRIM(M76),TRIM(P76)),"SELF-VERIFIED",""))</f>
        <v/>
      </c>
      <c r="P76" s="80" t="n"/>
      <c r="Q76" s="79">
        <f>IF(AND(K76="open",ISNUMBER(L76)),L76,"")</f>
        <v/>
      </c>
    </row>
    <row r="77" ht="33.75" customHeight="1" s="38">
      <c r="A77" s="75" t="n"/>
      <c r="B77" s="75" t="n"/>
      <c r="C77" s="77" t="n"/>
      <c r="D77" s="76" t="n"/>
      <c r="E77" s="75" t="n"/>
      <c r="F77" s="76" t="n"/>
      <c r="G77" s="76" t="n"/>
      <c r="H77" s="76" t="n"/>
      <c r="I77" s="76" t="n"/>
      <c r="J77" s="77" t="n"/>
      <c r="K77" s="75" t="n"/>
      <c r="L77" s="79">
        <f>IF(NOT(ISNUMBER(C77)),"",IF(ISNUMBER(N77),N77-C77,TODAY()-C77))</f>
        <v/>
      </c>
      <c r="M77" s="76" t="n"/>
      <c r="N77" s="77" t="n"/>
      <c r="O77" s="84">
        <f>IF(OR(M77="",P77=""),"",IF(EXACT(TRIM(M77),TRIM(P77)),"SELF-VERIFIED",""))</f>
        <v/>
      </c>
      <c r="P77" s="75" t="n"/>
      <c r="Q77" s="79">
        <f>IF(AND(K77="open",ISNUMBER(L77)),L77,"")</f>
        <v/>
      </c>
    </row>
    <row r="78" ht="33.75" customHeight="1" s="38">
      <c r="A78" s="80" t="n"/>
      <c r="B78" s="80" t="n"/>
      <c r="C78" s="82" t="n"/>
      <c r="D78" s="81" t="n"/>
      <c r="E78" s="80" t="n"/>
      <c r="F78" s="81" t="n"/>
      <c r="G78" s="81" t="n"/>
      <c r="H78" s="81" t="n"/>
      <c r="I78" s="81" t="n"/>
      <c r="J78" s="82" t="n"/>
      <c r="K78" s="80" t="n"/>
      <c r="L78" s="79">
        <f>IF(NOT(ISNUMBER(C78)),"",IF(ISNUMBER(N78),N78-C78,TODAY()-C78))</f>
        <v/>
      </c>
      <c r="M78" s="81" t="n"/>
      <c r="N78" s="82" t="n"/>
      <c r="O78" s="84">
        <f>IF(OR(M78="",P78=""),"",IF(EXACT(TRIM(M78),TRIM(P78)),"SELF-VERIFIED",""))</f>
        <v/>
      </c>
      <c r="P78" s="80" t="n"/>
      <c r="Q78" s="79">
        <f>IF(AND(K78="open",ISNUMBER(L78)),L78,"")</f>
        <v/>
      </c>
    </row>
    <row r="79" ht="33.75" customHeight="1" s="38">
      <c r="A79" s="75" t="n"/>
      <c r="B79" s="75" t="n"/>
      <c r="C79" s="77" t="n"/>
      <c r="D79" s="76" t="n"/>
      <c r="E79" s="75" t="n"/>
      <c r="F79" s="76" t="n"/>
      <c r="G79" s="76" t="n"/>
      <c r="H79" s="76" t="n"/>
      <c r="I79" s="76" t="n"/>
      <c r="J79" s="77" t="n"/>
      <c r="K79" s="75" t="n"/>
      <c r="L79" s="79">
        <f>IF(NOT(ISNUMBER(C79)),"",IF(ISNUMBER(N79),N79-C79,TODAY()-C79))</f>
        <v/>
      </c>
      <c r="M79" s="76" t="n"/>
      <c r="N79" s="77" t="n"/>
      <c r="O79" s="84">
        <f>IF(OR(M79="",P79=""),"",IF(EXACT(TRIM(M79),TRIM(P79)),"SELF-VERIFIED",""))</f>
        <v/>
      </c>
      <c r="P79" s="75" t="n"/>
      <c r="Q79" s="79">
        <f>IF(AND(K79="open",ISNUMBER(L79)),L79,"")</f>
        <v/>
      </c>
    </row>
    <row r="80" ht="33.75" customHeight="1" s="38">
      <c r="A80" s="80" t="n"/>
      <c r="B80" s="80" t="n"/>
      <c r="C80" s="82" t="n"/>
      <c r="D80" s="81" t="n"/>
      <c r="E80" s="80" t="n"/>
      <c r="F80" s="81" t="n"/>
      <c r="G80" s="81" t="n"/>
      <c r="H80" s="81" t="n"/>
      <c r="I80" s="81" t="n"/>
      <c r="J80" s="82" t="n"/>
      <c r="K80" s="80" t="n"/>
      <c r="L80" s="79">
        <f>IF(NOT(ISNUMBER(C80)),"",IF(ISNUMBER(N80),N80-C80,TODAY()-C80))</f>
        <v/>
      </c>
      <c r="M80" s="81" t="n"/>
      <c r="N80" s="82" t="n"/>
      <c r="O80" s="84">
        <f>IF(OR(M80="",P80=""),"",IF(EXACT(TRIM(M80),TRIM(P80)),"SELF-VERIFIED",""))</f>
        <v/>
      </c>
      <c r="P80" s="80" t="n"/>
      <c r="Q80" s="79">
        <f>IF(AND(K80="open",ISNUMBER(L80)),L80,"")</f>
        <v/>
      </c>
    </row>
    <row r="81" ht="33.75" customHeight="1" s="38">
      <c r="A81" s="75" t="n"/>
      <c r="B81" s="75" t="n"/>
      <c r="C81" s="77" t="n"/>
      <c r="D81" s="76" t="n"/>
      <c r="E81" s="75" t="n"/>
      <c r="F81" s="76" t="n"/>
      <c r="G81" s="76" t="n"/>
      <c r="H81" s="76" t="n"/>
      <c r="I81" s="76" t="n"/>
      <c r="J81" s="77" t="n"/>
      <c r="K81" s="75" t="n"/>
      <c r="L81" s="79">
        <f>IF(NOT(ISNUMBER(C81)),"",IF(ISNUMBER(N81),N81-C81,TODAY()-C81))</f>
        <v/>
      </c>
      <c r="M81" s="76" t="n"/>
      <c r="N81" s="77" t="n"/>
      <c r="O81" s="84">
        <f>IF(OR(M81="",P81=""),"",IF(EXACT(TRIM(M81),TRIM(P81)),"SELF-VERIFIED",""))</f>
        <v/>
      </c>
      <c r="P81" s="75" t="n"/>
      <c r="Q81" s="79">
        <f>IF(AND(K81="open",ISNUMBER(L81)),L81,"")</f>
        <v/>
      </c>
    </row>
    <row r="82" ht="33.75" customHeight="1" s="38">
      <c r="A82" s="80" t="n"/>
      <c r="B82" s="80" t="n"/>
      <c r="C82" s="82" t="n"/>
      <c r="D82" s="81" t="n"/>
      <c r="E82" s="80" t="n"/>
      <c r="F82" s="81" t="n"/>
      <c r="G82" s="81" t="n"/>
      <c r="H82" s="81" t="n"/>
      <c r="I82" s="81" t="n"/>
      <c r="J82" s="82" t="n"/>
      <c r="K82" s="80" t="n"/>
      <c r="L82" s="79">
        <f>IF(NOT(ISNUMBER(C82)),"",IF(ISNUMBER(N82),N82-C82,TODAY()-C82))</f>
        <v/>
      </c>
      <c r="M82" s="81" t="n"/>
      <c r="N82" s="82" t="n"/>
      <c r="O82" s="84">
        <f>IF(OR(M82="",P82=""),"",IF(EXACT(TRIM(M82),TRIM(P82)),"SELF-VERIFIED",""))</f>
        <v/>
      </c>
      <c r="P82" s="80" t="n"/>
      <c r="Q82" s="79">
        <f>IF(AND(K82="open",ISNUMBER(L82)),L82,"")</f>
        <v/>
      </c>
    </row>
    <row r="83" ht="33.75" customHeight="1" s="38">
      <c r="A83" s="75" t="n"/>
      <c r="B83" s="75" t="n"/>
      <c r="C83" s="77" t="n"/>
      <c r="D83" s="76" t="n"/>
      <c r="E83" s="75" t="n"/>
      <c r="F83" s="76" t="n"/>
      <c r="G83" s="76" t="n"/>
      <c r="H83" s="76" t="n"/>
      <c r="I83" s="76" t="n"/>
      <c r="J83" s="77" t="n"/>
      <c r="K83" s="75" t="n"/>
      <c r="L83" s="79">
        <f>IF(NOT(ISNUMBER(C83)),"",IF(ISNUMBER(N83),N83-C83,TODAY()-C83))</f>
        <v/>
      </c>
      <c r="M83" s="76" t="n"/>
      <c r="N83" s="77" t="n"/>
      <c r="O83" s="84">
        <f>IF(OR(M83="",P83=""),"",IF(EXACT(TRIM(M83),TRIM(P83)),"SELF-VERIFIED",""))</f>
        <v/>
      </c>
      <c r="P83" s="75" t="n"/>
      <c r="Q83" s="79">
        <f>IF(AND(K83="open",ISNUMBER(L83)),L83,"")</f>
        <v/>
      </c>
    </row>
    <row r="84" ht="33.75" customHeight="1" s="38">
      <c r="A84" s="80" t="n"/>
      <c r="B84" s="80" t="n"/>
      <c r="C84" s="82" t="n"/>
      <c r="D84" s="81" t="n"/>
      <c r="E84" s="80" t="n"/>
      <c r="F84" s="81" t="n"/>
      <c r="G84" s="81" t="n"/>
      <c r="H84" s="81" t="n"/>
      <c r="I84" s="81" t="n"/>
      <c r="J84" s="82" t="n"/>
      <c r="K84" s="80" t="n"/>
      <c r="L84" s="79">
        <f>IF(NOT(ISNUMBER(C84)),"",IF(ISNUMBER(N84),N84-C84,TODAY()-C84))</f>
        <v/>
      </c>
      <c r="M84" s="81" t="n"/>
      <c r="N84" s="82" t="n"/>
      <c r="O84" s="84">
        <f>IF(OR(M84="",P84=""),"",IF(EXACT(TRIM(M84),TRIM(P84)),"SELF-VERIFIED",""))</f>
        <v/>
      </c>
      <c r="P84" s="80" t="n"/>
      <c r="Q84" s="79">
        <f>IF(AND(K84="open",ISNUMBER(L84)),L84,"")</f>
        <v/>
      </c>
    </row>
    <row r="85" ht="33.75" customHeight="1" s="38">
      <c r="A85" s="75" t="n"/>
      <c r="B85" s="75" t="n"/>
      <c r="C85" s="77" t="n"/>
      <c r="D85" s="76" t="n"/>
      <c r="E85" s="75" t="n"/>
      <c r="F85" s="76" t="n"/>
      <c r="G85" s="76" t="n"/>
      <c r="H85" s="76" t="n"/>
      <c r="I85" s="76" t="n"/>
      <c r="J85" s="77" t="n"/>
      <c r="K85" s="75" t="n"/>
      <c r="L85" s="79">
        <f>IF(NOT(ISNUMBER(C85)),"",IF(ISNUMBER(N85),N85-C85,TODAY()-C85))</f>
        <v/>
      </c>
      <c r="M85" s="76" t="n"/>
      <c r="N85" s="77" t="n"/>
      <c r="O85" s="84">
        <f>IF(OR(M85="",P85=""),"",IF(EXACT(TRIM(M85),TRIM(P85)),"SELF-VERIFIED",""))</f>
        <v/>
      </c>
      <c r="P85" s="75" t="n"/>
      <c r="Q85" s="79">
        <f>IF(AND(K85="open",ISNUMBER(L85)),L85,"")</f>
        <v/>
      </c>
    </row>
    <row r="86" ht="33.75" customHeight="1" s="38">
      <c r="A86" s="80" t="n"/>
      <c r="B86" s="80" t="n"/>
      <c r="C86" s="82" t="n"/>
      <c r="D86" s="81" t="n"/>
      <c r="E86" s="80" t="n"/>
      <c r="F86" s="81" t="n"/>
      <c r="G86" s="81" t="n"/>
      <c r="H86" s="81" t="n"/>
      <c r="I86" s="81" t="n"/>
      <c r="J86" s="82" t="n"/>
      <c r="K86" s="80" t="n"/>
      <c r="L86" s="79">
        <f>IF(NOT(ISNUMBER(C86)),"",IF(ISNUMBER(N86),N86-C86,TODAY()-C86))</f>
        <v/>
      </c>
      <c r="M86" s="81" t="n"/>
      <c r="N86" s="82" t="n"/>
      <c r="O86" s="84">
        <f>IF(OR(M86="",P86=""),"",IF(EXACT(TRIM(M86),TRIM(P86)),"SELF-VERIFIED",""))</f>
        <v/>
      </c>
      <c r="P86" s="80" t="n"/>
      <c r="Q86" s="79">
        <f>IF(AND(K86="open",ISNUMBER(L86)),L86,"")</f>
        <v/>
      </c>
    </row>
    <row r="87" ht="33.75" customHeight="1" s="38">
      <c r="A87" s="75" t="n"/>
      <c r="B87" s="75" t="n"/>
      <c r="C87" s="77" t="n"/>
      <c r="D87" s="76" t="n"/>
      <c r="E87" s="75" t="n"/>
      <c r="F87" s="76" t="n"/>
      <c r="G87" s="76" t="n"/>
      <c r="H87" s="76" t="n"/>
      <c r="I87" s="76" t="n"/>
      <c r="J87" s="77" t="n"/>
      <c r="K87" s="75" t="n"/>
      <c r="L87" s="79">
        <f>IF(NOT(ISNUMBER(C87)),"",IF(ISNUMBER(N87),N87-C87,TODAY()-C87))</f>
        <v/>
      </c>
      <c r="M87" s="76" t="n"/>
      <c r="N87" s="77" t="n"/>
      <c r="O87" s="84">
        <f>IF(OR(M87="",P87=""),"",IF(EXACT(TRIM(M87),TRIM(P87)),"SELF-VERIFIED",""))</f>
        <v/>
      </c>
      <c r="P87" s="75" t="n"/>
      <c r="Q87" s="79">
        <f>IF(AND(K87="open",ISNUMBER(L87)),L87,"")</f>
        <v/>
      </c>
    </row>
    <row r="88" ht="33.75" customHeight="1" s="38">
      <c r="A88" s="80" t="n"/>
      <c r="B88" s="80" t="n"/>
      <c r="C88" s="82" t="n"/>
      <c r="D88" s="81" t="n"/>
      <c r="E88" s="80" t="n"/>
      <c r="F88" s="81" t="n"/>
      <c r="G88" s="81" t="n"/>
      <c r="H88" s="81" t="n"/>
      <c r="I88" s="81" t="n"/>
      <c r="J88" s="82" t="n"/>
      <c r="K88" s="80" t="n"/>
      <c r="L88" s="79">
        <f>IF(NOT(ISNUMBER(C88)),"",IF(ISNUMBER(N88),N88-C88,TODAY()-C88))</f>
        <v/>
      </c>
      <c r="M88" s="81" t="n"/>
      <c r="N88" s="82" t="n"/>
      <c r="O88" s="84">
        <f>IF(OR(M88="",P88=""),"",IF(EXACT(TRIM(M88),TRIM(P88)),"SELF-VERIFIED",""))</f>
        <v/>
      </c>
      <c r="P88" s="80" t="n"/>
      <c r="Q88" s="79">
        <f>IF(AND(K88="open",ISNUMBER(L88)),L88,"")</f>
        <v/>
      </c>
    </row>
    <row r="89" ht="33.75" customHeight="1" s="38">
      <c r="A89" s="75" t="n"/>
      <c r="B89" s="75" t="n"/>
      <c r="C89" s="77" t="n"/>
      <c r="D89" s="76" t="n"/>
      <c r="E89" s="75" t="n"/>
      <c r="F89" s="76" t="n"/>
      <c r="G89" s="76" t="n"/>
      <c r="H89" s="76" t="n"/>
      <c r="I89" s="76" t="n"/>
      <c r="J89" s="77" t="n"/>
      <c r="K89" s="75" t="n"/>
      <c r="L89" s="79">
        <f>IF(NOT(ISNUMBER(C89)),"",IF(ISNUMBER(N89),N89-C89,TODAY()-C89))</f>
        <v/>
      </c>
      <c r="M89" s="76" t="n"/>
      <c r="N89" s="77" t="n"/>
      <c r="O89" s="84">
        <f>IF(OR(M89="",P89=""),"",IF(EXACT(TRIM(M89),TRIM(P89)),"SELF-VERIFIED",""))</f>
        <v/>
      </c>
      <c r="P89" s="75" t="n"/>
      <c r="Q89" s="79">
        <f>IF(AND(K89="open",ISNUMBER(L89)),L89,"")</f>
        <v/>
      </c>
    </row>
    <row r="90" ht="33.75" customHeight="1" s="38">
      <c r="A90" s="80" t="n"/>
      <c r="B90" s="80" t="n"/>
      <c r="C90" s="82" t="n"/>
      <c r="D90" s="81" t="n"/>
      <c r="E90" s="80" t="n"/>
      <c r="F90" s="81" t="n"/>
      <c r="G90" s="81" t="n"/>
      <c r="H90" s="81" t="n"/>
      <c r="I90" s="81" t="n"/>
      <c r="J90" s="82" t="n"/>
      <c r="K90" s="80" t="n"/>
      <c r="L90" s="79">
        <f>IF(NOT(ISNUMBER(C90)),"",IF(ISNUMBER(N90),N90-C90,TODAY()-C90))</f>
        <v/>
      </c>
      <c r="M90" s="81" t="n"/>
      <c r="N90" s="82" t="n"/>
      <c r="O90" s="84">
        <f>IF(OR(M90="",P90=""),"",IF(EXACT(TRIM(M90),TRIM(P90)),"SELF-VERIFIED",""))</f>
        <v/>
      </c>
      <c r="P90" s="80" t="n"/>
      <c r="Q90" s="79">
        <f>IF(AND(K90="open",ISNUMBER(L90)),L90,"")</f>
        <v/>
      </c>
    </row>
    <row r="91" ht="33.75" customHeight="1" s="38">
      <c r="A91" s="75" t="n"/>
      <c r="B91" s="75" t="n"/>
      <c r="C91" s="77" t="n"/>
      <c r="D91" s="76" t="n"/>
      <c r="E91" s="75" t="n"/>
      <c r="F91" s="76" t="n"/>
      <c r="G91" s="76" t="n"/>
      <c r="H91" s="76" t="n"/>
      <c r="I91" s="76" t="n"/>
      <c r="J91" s="77" t="n"/>
      <c r="K91" s="75" t="n"/>
      <c r="L91" s="79">
        <f>IF(NOT(ISNUMBER(C91)),"",IF(ISNUMBER(N91),N91-C91,TODAY()-C91))</f>
        <v/>
      </c>
      <c r="M91" s="76" t="n"/>
      <c r="N91" s="77" t="n"/>
      <c r="O91" s="84">
        <f>IF(OR(M91="",P91=""),"",IF(EXACT(TRIM(M91),TRIM(P91)),"SELF-VERIFIED",""))</f>
        <v/>
      </c>
      <c r="P91" s="75" t="n"/>
      <c r="Q91" s="79">
        <f>IF(AND(K91="open",ISNUMBER(L91)),L91,"")</f>
        <v/>
      </c>
    </row>
    <row r="92" ht="33.75" customHeight="1" s="38">
      <c r="A92" s="80" t="n"/>
      <c r="B92" s="80" t="n"/>
      <c r="C92" s="82" t="n"/>
      <c r="D92" s="81" t="n"/>
      <c r="E92" s="80" t="n"/>
      <c r="F92" s="81" t="n"/>
      <c r="G92" s="81" t="n"/>
      <c r="H92" s="81" t="n"/>
      <c r="I92" s="81" t="n"/>
      <c r="J92" s="82" t="n"/>
      <c r="K92" s="80" t="n"/>
      <c r="L92" s="79">
        <f>IF(NOT(ISNUMBER(C92)),"",IF(ISNUMBER(N92),N92-C92,TODAY()-C92))</f>
        <v/>
      </c>
      <c r="M92" s="81" t="n"/>
      <c r="N92" s="82" t="n"/>
      <c r="O92" s="84">
        <f>IF(OR(M92="",P92=""),"",IF(EXACT(TRIM(M92),TRIM(P92)),"SELF-VERIFIED",""))</f>
        <v/>
      </c>
      <c r="P92" s="80" t="n"/>
      <c r="Q92" s="79">
        <f>IF(AND(K92="open",ISNUMBER(L92)),L92,"")</f>
        <v/>
      </c>
    </row>
    <row r="93" ht="33.75" customHeight="1" s="38">
      <c r="A93" s="75" t="n"/>
      <c r="B93" s="75" t="n"/>
      <c r="C93" s="77" t="n"/>
      <c r="D93" s="76" t="n"/>
      <c r="E93" s="75" t="n"/>
      <c r="F93" s="76" t="n"/>
      <c r="G93" s="76" t="n"/>
      <c r="H93" s="76" t="n"/>
      <c r="I93" s="76" t="n"/>
      <c r="J93" s="77" t="n"/>
      <c r="K93" s="75" t="n"/>
      <c r="L93" s="79">
        <f>IF(NOT(ISNUMBER(C93)),"",IF(ISNUMBER(N93),N93-C93,TODAY()-C93))</f>
        <v/>
      </c>
      <c r="M93" s="76" t="n"/>
      <c r="N93" s="77" t="n"/>
      <c r="O93" s="84">
        <f>IF(OR(M93="",P93=""),"",IF(EXACT(TRIM(M93),TRIM(P93)),"SELF-VERIFIED",""))</f>
        <v/>
      </c>
      <c r="P93" s="75" t="n"/>
      <c r="Q93" s="79">
        <f>IF(AND(K93="open",ISNUMBER(L93)),L93,"")</f>
        <v/>
      </c>
    </row>
    <row r="94" ht="33.75" customHeight="1" s="38">
      <c r="A94" s="80" t="n"/>
      <c r="B94" s="80" t="n"/>
      <c r="C94" s="82" t="n"/>
      <c r="D94" s="81" t="n"/>
      <c r="E94" s="80" t="n"/>
      <c r="F94" s="81" t="n"/>
      <c r="G94" s="81" t="n"/>
      <c r="H94" s="81" t="n"/>
      <c r="I94" s="81" t="n"/>
      <c r="J94" s="82" t="n"/>
      <c r="K94" s="80" t="n"/>
      <c r="L94" s="79">
        <f>IF(NOT(ISNUMBER(C94)),"",IF(ISNUMBER(N94),N94-C94,TODAY()-C94))</f>
        <v/>
      </c>
      <c r="M94" s="81" t="n"/>
      <c r="N94" s="82" t="n"/>
      <c r="O94" s="84">
        <f>IF(OR(M94="",P94=""),"",IF(EXACT(TRIM(M94),TRIM(P94)),"SELF-VERIFIED",""))</f>
        <v/>
      </c>
      <c r="P94" s="80" t="n"/>
      <c r="Q94" s="79">
        <f>IF(AND(K94="open",ISNUMBER(L94)),L94,"")</f>
        <v/>
      </c>
    </row>
    <row r="95" ht="33.75" customHeight="1" s="38">
      <c r="A95" s="75" t="n"/>
      <c r="B95" s="75" t="n"/>
      <c r="C95" s="77" t="n"/>
      <c r="D95" s="76" t="n"/>
      <c r="E95" s="75" t="n"/>
      <c r="F95" s="76" t="n"/>
      <c r="G95" s="76" t="n"/>
      <c r="H95" s="76" t="n"/>
      <c r="I95" s="76" t="n"/>
      <c r="J95" s="77" t="n"/>
      <c r="K95" s="75" t="n"/>
      <c r="L95" s="79">
        <f>IF(NOT(ISNUMBER(C95)),"",IF(ISNUMBER(N95),N95-C95,TODAY()-C95))</f>
        <v/>
      </c>
      <c r="M95" s="76" t="n"/>
      <c r="N95" s="77" t="n"/>
      <c r="O95" s="84">
        <f>IF(OR(M95="",P95=""),"",IF(EXACT(TRIM(M95),TRIM(P95)),"SELF-VERIFIED",""))</f>
        <v/>
      </c>
      <c r="P95" s="75" t="n"/>
      <c r="Q95" s="79">
        <f>IF(AND(K95="open",ISNUMBER(L95)),L95,"")</f>
        <v/>
      </c>
    </row>
    <row r="96" ht="33.75" customHeight="1" s="38">
      <c r="A96" s="80" t="n"/>
      <c r="B96" s="80" t="n"/>
      <c r="C96" s="82" t="n"/>
      <c r="D96" s="81" t="n"/>
      <c r="E96" s="80" t="n"/>
      <c r="F96" s="81" t="n"/>
      <c r="G96" s="81" t="n"/>
      <c r="H96" s="81" t="n"/>
      <c r="I96" s="81" t="n"/>
      <c r="J96" s="82" t="n"/>
      <c r="K96" s="80" t="n"/>
      <c r="L96" s="79">
        <f>IF(NOT(ISNUMBER(C96)),"",IF(ISNUMBER(N96),N96-C96,TODAY()-C96))</f>
        <v/>
      </c>
      <c r="M96" s="81" t="n"/>
      <c r="N96" s="82" t="n"/>
      <c r="O96" s="84">
        <f>IF(OR(M96="",P96=""),"",IF(EXACT(TRIM(M96),TRIM(P96)),"SELF-VERIFIED",""))</f>
        <v/>
      </c>
      <c r="P96" s="80" t="n"/>
      <c r="Q96" s="79">
        <f>IF(AND(K96="open",ISNUMBER(L96)),L96,"")</f>
        <v/>
      </c>
    </row>
    <row r="97" ht="33.75" customHeight="1" s="38">
      <c r="A97" s="75" t="n"/>
      <c r="B97" s="75" t="n"/>
      <c r="C97" s="77" t="n"/>
      <c r="D97" s="76" t="n"/>
      <c r="E97" s="75" t="n"/>
      <c r="F97" s="76" t="n"/>
      <c r="G97" s="76" t="n"/>
      <c r="H97" s="76" t="n"/>
      <c r="I97" s="76" t="n"/>
      <c r="J97" s="77" t="n"/>
      <c r="K97" s="75" t="n"/>
      <c r="L97" s="79">
        <f>IF(NOT(ISNUMBER(C97)),"",IF(ISNUMBER(N97),N97-C97,TODAY()-C97))</f>
        <v/>
      </c>
      <c r="M97" s="76" t="n"/>
      <c r="N97" s="77" t="n"/>
      <c r="O97" s="84">
        <f>IF(OR(M97="",P97=""),"",IF(EXACT(TRIM(M97),TRIM(P97)),"SELF-VERIFIED",""))</f>
        <v/>
      </c>
      <c r="P97" s="75" t="n"/>
      <c r="Q97" s="79">
        <f>IF(AND(K97="open",ISNUMBER(L97)),L97,"")</f>
        <v/>
      </c>
    </row>
    <row r="98" ht="33.75" customHeight="1" s="38">
      <c r="A98" s="80" t="n"/>
      <c r="B98" s="80" t="n"/>
      <c r="C98" s="82" t="n"/>
      <c r="D98" s="81" t="n"/>
      <c r="E98" s="80" t="n"/>
      <c r="F98" s="81" t="n"/>
      <c r="G98" s="81" t="n"/>
      <c r="H98" s="81" t="n"/>
      <c r="I98" s="81" t="n"/>
      <c r="J98" s="82" t="n"/>
      <c r="K98" s="80" t="n"/>
      <c r="L98" s="79">
        <f>IF(NOT(ISNUMBER(C98)),"",IF(ISNUMBER(N98),N98-C98,TODAY()-C98))</f>
        <v/>
      </c>
      <c r="M98" s="81" t="n"/>
      <c r="N98" s="82" t="n"/>
      <c r="O98" s="84">
        <f>IF(OR(M98="",P98=""),"",IF(EXACT(TRIM(M98),TRIM(P98)),"SELF-VERIFIED",""))</f>
        <v/>
      </c>
      <c r="P98" s="80" t="n"/>
      <c r="Q98" s="79">
        <f>IF(AND(K98="open",ISNUMBER(L98)),L98,"")</f>
        <v/>
      </c>
    </row>
    <row r="99" ht="33.75" customHeight="1" s="38">
      <c r="A99" s="75" t="n"/>
      <c r="B99" s="75" t="n"/>
      <c r="C99" s="77" t="n"/>
      <c r="D99" s="76" t="n"/>
      <c r="E99" s="75" t="n"/>
      <c r="F99" s="76" t="n"/>
      <c r="G99" s="76" t="n"/>
      <c r="H99" s="76" t="n"/>
      <c r="I99" s="76" t="n"/>
      <c r="J99" s="77" t="n"/>
      <c r="K99" s="75" t="n"/>
      <c r="L99" s="79">
        <f>IF(NOT(ISNUMBER(C99)),"",IF(ISNUMBER(N99),N99-C99,TODAY()-C99))</f>
        <v/>
      </c>
      <c r="M99" s="76" t="n"/>
      <c r="N99" s="77" t="n"/>
      <c r="O99" s="84">
        <f>IF(OR(M99="",P99=""),"",IF(EXACT(TRIM(M99),TRIM(P99)),"SELF-VERIFIED",""))</f>
        <v/>
      </c>
      <c r="P99" s="75" t="n"/>
      <c r="Q99" s="79">
        <f>IF(AND(K99="open",ISNUMBER(L99)),L99,"")</f>
        <v/>
      </c>
    </row>
    <row r="100" ht="33.75" customHeight="1" s="38">
      <c r="A100" s="80" t="n"/>
      <c r="B100" s="80" t="n"/>
      <c r="C100" s="82" t="n"/>
      <c r="D100" s="81" t="n"/>
      <c r="E100" s="80" t="n"/>
      <c r="F100" s="81" t="n"/>
      <c r="G100" s="81" t="n"/>
      <c r="H100" s="81" t="n"/>
      <c r="I100" s="81" t="n"/>
      <c r="J100" s="82" t="n"/>
      <c r="K100" s="80" t="n"/>
      <c r="L100" s="79">
        <f>IF(NOT(ISNUMBER(C100)),"",IF(ISNUMBER(N100),N100-C100,TODAY()-C100))</f>
        <v/>
      </c>
      <c r="M100" s="81" t="n"/>
      <c r="N100" s="82" t="n"/>
      <c r="O100" s="84">
        <f>IF(OR(M100="",P100=""),"",IF(EXACT(TRIM(M100),TRIM(P100)),"SELF-VERIFIED",""))</f>
        <v/>
      </c>
      <c r="P100" s="80" t="n"/>
      <c r="Q100" s="79">
        <f>IF(AND(K100="open",ISNUMBER(L100)),L100,"")</f>
        <v/>
      </c>
    </row>
    <row r="101" ht="33.75" customHeight="1" s="38">
      <c r="A101" s="75" t="n"/>
      <c r="B101" s="75" t="n"/>
      <c r="C101" s="77" t="n"/>
      <c r="D101" s="76" t="n"/>
      <c r="E101" s="75" t="n"/>
      <c r="F101" s="76" t="n"/>
      <c r="G101" s="76" t="n"/>
      <c r="H101" s="76" t="n"/>
      <c r="I101" s="76" t="n"/>
      <c r="J101" s="77" t="n"/>
      <c r="K101" s="75" t="n"/>
      <c r="L101" s="79">
        <f>IF(NOT(ISNUMBER(C101)),"",IF(ISNUMBER(N101),N101-C101,TODAY()-C101))</f>
        <v/>
      </c>
      <c r="M101" s="76" t="n"/>
      <c r="N101" s="77" t="n"/>
      <c r="O101" s="84">
        <f>IF(OR(M101="",P101=""),"",IF(EXACT(TRIM(M101),TRIM(P101)),"SELF-VERIFIED",""))</f>
        <v/>
      </c>
      <c r="P101" s="75" t="n"/>
      <c r="Q101" s="79">
        <f>IF(AND(K101="open",ISNUMBER(L101)),L101,"")</f>
        <v/>
      </c>
    </row>
    <row r="102" ht="33.75" customHeight="1" s="38">
      <c r="A102" s="80" t="n"/>
      <c r="B102" s="80" t="n"/>
      <c r="C102" s="82" t="n"/>
      <c r="D102" s="81" t="n"/>
      <c r="E102" s="80" t="n"/>
      <c r="F102" s="81" t="n"/>
      <c r="G102" s="81" t="n"/>
      <c r="H102" s="81" t="n"/>
      <c r="I102" s="81" t="n"/>
      <c r="J102" s="82" t="n"/>
      <c r="K102" s="80" t="n"/>
      <c r="L102" s="79">
        <f>IF(NOT(ISNUMBER(C102)),"",IF(ISNUMBER(N102),N102-C102,TODAY()-C102))</f>
        <v/>
      </c>
      <c r="M102" s="81" t="n"/>
      <c r="N102" s="82" t="n"/>
      <c r="O102" s="84">
        <f>IF(OR(M102="",P102=""),"",IF(EXACT(TRIM(M102),TRIM(P102)),"SELF-VERIFIED",""))</f>
        <v/>
      </c>
      <c r="P102" s="80" t="n"/>
      <c r="Q102" s="79">
        <f>IF(AND(K102="open",ISNUMBER(L102)),L102,"")</f>
        <v/>
      </c>
    </row>
    <row r="103" ht="33.75" customHeight="1" s="38">
      <c r="A103" s="75" t="n"/>
      <c r="B103" s="75" t="n"/>
      <c r="C103" s="77" t="n"/>
      <c r="D103" s="76" t="n"/>
      <c r="E103" s="75" t="n"/>
      <c r="F103" s="76" t="n"/>
      <c r="G103" s="76" t="n"/>
      <c r="H103" s="76" t="n"/>
      <c r="I103" s="76" t="n"/>
      <c r="J103" s="77" t="n"/>
      <c r="K103" s="75" t="n"/>
      <c r="L103" s="79">
        <f>IF(NOT(ISNUMBER(C103)),"",IF(ISNUMBER(N103),N103-C103,TODAY()-C103))</f>
        <v/>
      </c>
      <c r="M103" s="76" t="n"/>
      <c r="N103" s="77" t="n"/>
      <c r="O103" s="84">
        <f>IF(OR(M103="",P103=""),"",IF(EXACT(TRIM(M103),TRIM(P103)),"SELF-VERIFIED",""))</f>
        <v/>
      </c>
      <c r="P103" s="75" t="n"/>
      <c r="Q103" s="79">
        <f>IF(AND(K103="open",ISNUMBER(L103)),L103,"")</f>
        <v/>
      </c>
    </row>
    <row r="104" ht="33.75" customHeight="1" s="38">
      <c r="A104" s="80" t="n"/>
      <c r="B104" s="80" t="n"/>
      <c r="C104" s="82" t="n"/>
      <c r="D104" s="81" t="n"/>
      <c r="E104" s="80" t="n"/>
      <c r="F104" s="81" t="n"/>
      <c r="G104" s="81" t="n"/>
      <c r="H104" s="81" t="n"/>
      <c r="I104" s="81" t="n"/>
      <c r="J104" s="82" t="n"/>
      <c r="K104" s="80" t="n"/>
      <c r="L104" s="79">
        <f>IF(NOT(ISNUMBER(C104)),"",IF(ISNUMBER(N104),N104-C104,TODAY()-C104))</f>
        <v/>
      </c>
      <c r="M104" s="81" t="n"/>
      <c r="N104" s="82" t="n"/>
      <c r="O104" s="84">
        <f>IF(OR(M104="",P104=""),"",IF(EXACT(TRIM(M104),TRIM(P104)),"SELF-VERIFIED",""))</f>
        <v/>
      </c>
      <c r="P104" s="80" t="n"/>
      <c r="Q104" s="79">
        <f>IF(AND(K104="open",ISNUMBER(L104)),L104,"")</f>
        <v/>
      </c>
    </row>
    <row r="105" ht="33.75" customHeight="1" s="38">
      <c r="A105" s="75" t="n"/>
      <c r="B105" s="75" t="n"/>
      <c r="C105" s="77" t="n"/>
      <c r="D105" s="76" t="n"/>
      <c r="E105" s="75" t="n"/>
      <c r="F105" s="76" t="n"/>
      <c r="G105" s="76" t="n"/>
      <c r="H105" s="76" t="n"/>
      <c r="I105" s="76" t="n"/>
      <c r="J105" s="77" t="n"/>
      <c r="K105" s="75" t="n"/>
      <c r="L105" s="79">
        <f>IF(NOT(ISNUMBER(C105)),"",IF(ISNUMBER(N105),N105-C105,TODAY()-C105))</f>
        <v/>
      </c>
      <c r="M105" s="76" t="n"/>
      <c r="N105" s="77" t="n"/>
      <c r="O105" s="84">
        <f>IF(OR(M105="",P105=""),"",IF(EXACT(TRIM(M105),TRIM(P105)),"SELF-VERIFIED",""))</f>
        <v/>
      </c>
      <c r="P105" s="75" t="n"/>
      <c r="Q105" s="79">
        <f>IF(AND(K105="open",ISNUMBER(L105)),L105,"")</f>
        <v/>
      </c>
    </row>
    <row r="106" ht="33.75" customHeight="1" s="38">
      <c r="A106" s="80" t="n"/>
      <c r="B106" s="80" t="n"/>
      <c r="C106" s="82" t="n"/>
      <c r="D106" s="81" t="n"/>
      <c r="E106" s="80" t="n"/>
      <c r="F106" s="81" t="n"/>
      <c r="G106" s="81" t="n"/>
      <c r="H106" s="81" t="n"/>
      <c r="I106" s="81" t="n"/>
      <c r="J106" s="82" t="n"/>
      <c r="K106" s="80" t="n"/>
      <c r="L106" s="79">
        <f>IF(NOT(ISNUMBER(C106)),"",IF(ISNUMBER(N106),N106-C106,TODAY()-C106))</f>
        <v/>
      </c>
      <c r="M106" s="81" t="n"/>
      <c r="N106" s="82" t="n"/>
      <c r="O106" s="84">
        <f>IF(OR(M106="",P106=""),"",IF(EXACT(TRIM(M106),TRIM(P106)),"SELF-VERIFIED",""))</f>
        <v/>
      </c>
      <c r="P106" s="80" t="n"/>
      <c r="Q106" s="79">
        <f>IF(AND(K106="open",ISNUMBER(L106)),L106,"")</f>
        <v/>
      </c>
    </row>
    <row r="107" ht="33.75" customHeight="1" s="38">
      <c r="A107" s="75" t="n"/>
      <c r="B107" s="75" t="n"/>
      <c r="C107" s="77" t="n"/>
      <c r="D107" s="76" t="n"/>
      <c r="E107" s="75" t="n"/>
      <c r="F107" s="76" t="n"/>
      <c r="G107" s="76" t="n"/>
      <c r="H107" s="76" t="n"/>
      <c r="I107" s="76" t="n"/>
      <c r="J107" s="77" t="n"/>
      <c r="K107" s="75" t="n"/>
      <c r="L107" s="79">
        <f>IF(NOT(ISNUMBER(C107)),"",IF(ISNUMBER(N107),N107-C107,TODAY()-C107))</f>
        <v/>
      </c>
      <c r="M107" s="76" t="n"/>
      <c r="N107" s="77" t="n"/>
      <c r="O107" s="84">
        <f>IF(OR(M107="",P107=""),"",IF(EXACT(TRIM(M107),TRIM(P107)),"SELF-VERIFIED",""))</f>
        <v/>
      </c>
      <c r="P107" s="75" t="n"/>
      <c r="Q107" s="79">
        <f>IF(AND(K107="open",ISNUMBER(L107)),L107,"")</f>
        <v/>
      </c>
    </row>
    <row r="108" ht="33.75" customHeight="1" s="38">
      <c r="A108" s="80" t="n"/>
      <c r="B108" s="80" t="n"/>
      <c r="C108" s="82" t="n"/>
      <c r="D108" s="81" t="n"/>
      <c r="E108" s="80" t="n"/>
      <c r="F108" s="81" t="n"/>
      <c r="G108" s="81" t="n"/>
      <c r="H108" s="81" t="n"/>
      <c r="I108" s="81" t="n"/>
      <c r="J108" s="82" t="n"/>
      <c r="K108" s="80" t="n"/>
      <c r="L108" s="79">
        <f>IF(NOT(ISNUMBER(C108)),"",IF(ISNUMBER(N108),N108-C108,TODAY()-C108))</f>
        <v/>
      </c>
      <c r="M108" s="81" t="n"/>
      <c r="N108" s="82" t="n"/>
      <c r="O108" s="84">
        <f>IF(OR(M108="",P108=""),"",IF(EXACT(TRIM(M108),TRIM(P108)),"SELF-VERIFIED",""))</f>
        <v/>
      </c>
      <c r="P108" s="80" t="n"/>
      <c r="Q108" s="79">
        <f>IF(AND(K108="open",ISNUMBER(L108)),L108,"")</f>
        <v/>
      </c>
    </row>
    <row r="109" ht="33.75" customHeight="1" s="38">
      <c r="A109" s="75" t="n"/>
      <c r="B109" s="75" t="n"/>
      <c r="C109" s="77" t="n"/>
      <c r="D109" s="76" t="n"/>
      <c r="E109" s="75" t="n"/>
      <c r="F109" s="76" t="n"/>
      <c r="G109" s="76" t="n"/>
      <c r="H109" s="76" t="n"/>
      <c r="I109" s="76" t="n"/>
      <c r="J109" s="77" t="n"/>
      <c r="K109" s="75" t="n"/>
      <c r="L109" s="79">
        <f>IF(NOT(ISNUMBER(C109)),"",IF(ISNUMBER(N109),N109-C109,TODAY()-C109))</f>
        <v/>
      </c>
      <c r="M109" s="76" t="n"/>
      <c r="N109" s="77" t="n"/>
      <c r="O109" s="84">
        <f>IF(OR(M109="",P109=""),"",IF(EXACT(TRIM(M109),TRIM(P109)),"SELF-VERIFIED",""))</f>
        <v/>
      </c>
      <c r="P109" s="75" t="n"/>
      <c r="Q109" s="79">
        <f>IF(AND(K109="open",ISNUMBER(L109)),L109,"")</f>
        <v/>
      </c>
    </row>
    <row r="110" ht="33.75" customHeight="1" s="38">
      <c r="A110" s="80" t="n"/>
      <c r="B110" s="80" t="n"/>
      <c r="C110" s="82" t="n"/>
      <c r="D110" s="81" t="n"/>
      <c r="E110" s="80" t="n"/>
      <c r="F110" s="81" t="n"/>
      <c r="G110" s="81" t="n"/>
      <c r="H110" s="81" t="n"/>
      <c r="I110" s="81" t="n"/>
      <c r="J110" s="82" t="n"/>
      <c r="K110" s="80" t="n"/>
      <c r="L110" s="79">
        <f>IF(NOT(ISNUMBER(C110)),"",IF(ISNUMBER(N110),N110-C110,TODAY()-C110))</f>
        <v/>
      </c>
      <c r="M110" s="81" t="n"/>
      <c r="N110" s="82" t="n"/>
      <c r="O110" s="84">
        <f>IF(OR(M110="",P110=""),"",IF(EXACT(TRIM(M110),TRIM(P110)),"SELF-VERIFIED",""))</f>
        <v/>
      </c>
      <c r="P110" s="80" t="n"/>
      <c r="Q110" s="79">
        <f>IF(AND(K110="open",ISNUMBER(L110)),L110,"")</f>
        <v/>
      </c>
    </row>
    <row r="111" ht="33.75" customHeight="1" s="38">
      <c r="A111" s="75" t="n"/>
      <c r="B111" s="75" t="n"/>
      <c r="C111" s="77" t="n"/>
      <c r="D111" s="76" t="n"/>
      <c r="E111" s="75" t="n"/>
      <c r="F111" s="76" t="n"/>
      <c r="G111" s="76" t="n"/>
      <c r="H111" s="76" t="n"/>
      <c r="I111" s="76" t="n"/>
      <c r="J111" s="77" t="n"/>
      <c r="K111" s="75" t="n"/>
      <c r="L111" s="79">
        <f>IF(NOT(ISNUMBER(C111)),"",IF(ISNUMBER(N111),N111-C111,TODAY()-C111))</f>
        <v/>
      </c>
      <c r="M111" s="76" t="n"/>
      <c r="N111" s="77" t="n"/>
      <c r="O111" s="84">
        <f>IF(OR(M111="",P111=""),"",IF(EXACT(TRIM(M111),TRIM(P111)),"SELF-VERIFIED",""))</f>
        <v/>
      </c>
      <c r="P111" s="75" t="n"/>
      <c r="Q111" s="79">
        <f>IF(AND(K111="open",ISNUMBER(L111)),L111,"")</f>
        <v/>
      </c>
    </row>
    <row r="112" ht="33.75" customHeight="1" s="38">
      <c r="A112" s="80" t="n"/>
      <c r="B112" s="80" t="n"/>
      <c r="C112" s="82" t="n"/>
      <c r="D112" s="81" t="n"/>
      <c r="E112" s="80" t="n"/>
      <c r="F112" s="81" t="n"/>
      <c r="G112" s="81" t="n"/>
      <c r="H112" s="81" t="n"/>
      <c r="I112" s="81" t="n"/>
      <c r="J112" s="82" t="n"/>
      <c r="K112" s="80" t="n"/>
      <c r="L112" s="79">
        <f>IF(NOT(ISNUMBER(C112)),"",IF(ISNUMBER(N112),N112-C112,TODAY()-C112))</f>
        <v/>
      </c>
      <c r="M112" s="81" t="n"/>
      <c r="N112" s="82" t="n"/>
      <c r="O112" s="84">
        <f>IF(OR(M112="",P112=""),"",IF(EXACT(TRIM(M112),TRIM(P112)),"SELF-VERIFIED",""))</f>
        <v/>
      </c>
      <c r="P112" s="80" t="n"/>
      <c r="Q112" s="79">
        <f>IF(AND(K112="open",ISNUMBER(L112)),L112,"")</f>
        <v/>
      </c>
    </row>
    <row r="113" ht="33.75" customHeight="1" s="38">
      <c r="A113" s="75" t="n"/>
      <c r="B113" s="75" t="n"/>
      <c r="C113" s="77" t="n"/>
      <c r="D113" s="76" t="n"/>
      <c r="E113" s="75" t="n"/>
      <c r="F113" s="76" t="n"/>
      <c r="G113" s="76" t="n"/>
      <c r="H113" s="76" t="n"/>
      <c r="I113" s="76" t="n"/>
      <c r="J113" s="77" t="n"/>
      <c r="K113" s="75" t="n"/>
      <c r="L113" s="79">
        <f>IF(NOT(ISNUMBER(C113)),"",IF(ISNUMBER(N113),N113-C113,TODAY()-C113))</f>
        <v/>
      </c>
      <c r="M113" s="76" t="n"/>
      <c r="N113" s="77" t="n"/>
      <c r="O113" s="84">
        <f>IF(OR(M113="",P113=""),"",IF(EXACT(TRIM(M113),TRIM(P113)),"SELF-VERIFIED",""))</f>
        <v/>
      </c>
      <c r="P113" s="75" t="n"/>
      <c r="Q113" s="79">
        <f>IF(AND(K113="open",ISNUMBER(L113)),L113,"")</f>
        <v/>
      </c>
    </row>
    <row r="114" ht="33.75" customHeight="1" s="38">
      <c r="A114" s="80" t="n"/>
      <c r="B114" s="80" t="n"/>
      <c r="C114" s="82" t="n"/>
      <c r="D114" s="81" t="n"/>
      <c r="E114" s="80" t="n"/>
      <c r="F114" s="81" t="n"/>
      <c r="G114" s="81" t="n"/>
      <c r="H114" s="81" t="n"/>
      <c r="I114" s="81" t="n"/>
      <c r="J114" s="82" t="n"/>
      <c r="K114" s="80" t="n"/>
      <c r="L114" s="79">
        <f>IF(NOT(ISNUMBER(C114)),"",IF(ISNUMBER(N114),N114-C114,TODAY()-C114))</f>
        <v/>
      </c>
      <c r="M114" s="81" t="n"/>
      <c r="N114" s="82" t="n"/>
      <c r="O114" s="84">
        <f>IF(OR(M114="",P114=""),"",IF(EXACT(TRIM(M114),TRIM(P114)),"SELF-VERIFIED",""))</f>
        <v/>
      </c>
      <c r="P114" s="80" t="n"/>
      <c r="Q114" s="79">
        <f>IF(AND(K114="open",ISNUMBER(L114)),L114,"")</f>
        <v/>
      </c>
    </row>
    <row r="115" ht="33.75" customHeight="1" s="38">
      <c r="A115" s="75" t="n"/>
      <c r="B115" s="75" t="n"/>
      <c r="C115" s="77" t="n"/>
      <c r="D115" s="76" t="n"/>
      <c r="E115" s="75" t="n"/>
      <c r="F115" s="76" t="n"/>
      <c r="G115" s="76" t="n"/>
      <c r="H115" s="76" t="n"/>
      <c r="I115" s="76" t="n"/>
      <c r="J115" s="77" t="n"/>
      <c r="K115" s="75" t="n"/>
      <c r="L115" s="79">
        <f>IF(NOT(ISNUMBER(C115)),"",IF(ISNUMBER(N115),N115-C115,TODAY()-C115))</f>
        <v/>
      </c>
      <c r="M115" s="76" t="n"/>
      <c r="N115" s="77" t="n"/>
      <c r="O115" s="84">
        <f>IF(OR(M115="",P115=""),"",IF(EXACT(TRIM(M115),TRIM(P115)),"SELF-VERIFIED",""))</f>
        <v/>
      </c>
      <c r="P115" s="75" t="n"/>
      <c r="Q115" s="79">
        <f>IF(AND(K115="open",ISNUMBER(L115)),L115,"")</f>
        <v/>
      </c>
    </row>
    <row r="116" ht="33.75" customHeight="1" s="38">
      <c r="A116" s="80" t="n"/>
      <c r="B116" s="80" t="n"/>
      <c r="C116" s="82" t="n"/>
      <c r="D116" s="81" t="n"/>
      <c r="E116" s="80" t="n"/>
      <c r="F116" s="81" t="n"/>
      <c r="G116" s="81" t="n"/>
      <c r="H116" s="81" t="n"/>
      <c r="I116" s="81" t="n"/>
      <c r="J116" s="82" t="n"/>
      <c r="K116" s="80" t="n"/>
      <c r="L116" s="79">
        <f>IF(NOT(ISNUMBER(C116)),"",IF(ISNUMBER(N116),N116-C116,TODAY()-C116))</f>
        <v/>
      </c>
      <c r="M116" s="81" t="n"/>
      <c r="N116" s="82" t="n"/>
      <c r="O116" s="84">
        <f>IF(OR(M116="",P116=""),"",IF(EXACT(TRIM(M116),TRIM(P116)),"SELF-VERIFIED",""))</f>
        <v/>
      </c>
      <c r="P116" s="80" t="n"/>
      <c r="Q116" s="79">
        <f>IF(AND(K116="open",ISNUMBER(L116)),L116,"")</f>
        <v/>
      </c>
    </row>
    <row r="117" ht="33.75" customHeight="1" s="38">
      <c r="A117" s="75" t="n"/>
      <c r="B117" s="75" t="n"/>
      <c r="C117" s="77" t="n"/>
      <c r="D117" s="76" t="n"/>
      <c r="E117" s="75" t="n"/>
      <c r="F117" s="76" t="n"/>
      <c r="G117" s="76" t="n"/>
      <c r="H117" s="76" t="n"/>
      <c r="I117" s="76" t="n"/>
      <c r="J117" s="77" t="n"/>
      <c r="K117" s="75" t="n"/>
      <c r="L117" s="79">
        <f>IF(NOT(ISNUMBER(C117)),"",IF(ISNUMBER(N117),N117-C117,TODAY()-C117))</f>
        <v/>
      </c>
      <c r="M117" s="76" t="n"/>
      <c r="N117" s="77" t="n"/>
      <c r="O117" s="84">
        <f>IF(OR(M117="",P117=""),"",IF(EXACT(TRIM(M117),TRIM(P117)),"SELF-VERIFIED",""))</f>
        <v/>
      </c>
      <c r="P117" s="75" t="n"/>
      <c r="Q117" s="79">
        <f>IF(AND(K117="open",ISNUMBER(L117)),L117,"")</f>
        <v/>
      </c>
    </row>
    <row r="118" ht="33.75" customHeight="1" s="38">
      <c r="A118" s="80" t="n"/>
      <c r="B118" s="80" t="n"/>
      <c r="C118" s="82" t="n"/>
      <c r="D118" s="81" t="n"/>
      <c r="E118" s="80" t="n"/>
      <c r="F118" s="81" t="n"/>
      <c r="G118" s="81" t="n"/>
      <c r="H118" s="81" t="n"/>
      <c r="I118" s="81" t="n"/>
      <c r="J118" s="82" t="n"/>
      <c r="K118" s="80" t="n"/>
      <c r="L118" s="79">
        <f>IF(NOT(ISNUMBER(C118)),"",IF(ISNUMBER(N118),N118-C118,TODAY()-C118))</f>
        <v/>
      </c>
      <c r="M118" s="81" t="n"/>
      <c r="N118" s="82" t="n"/>
      <c r="O118" s="84">
        <f>IF(OR(M118="",P118=""),"",IF(EXACT(TRIM(M118),TRIM(P118)),"SELF-VERIFIED",""))</f>
        <v/>
      </c>
      <c r="P118" s="80" t="n"/>
      <c r="Q118" s="79">
        <f>IF(AND(K118="open",ISNUMBER(L118)),L118,"")</f>
        <v/>
      </c>
    </row>
    <row r="119" ht="33.75" customHeight="1" s="38">
      <c r="A119" s="75" t="n"/>
      <c r="B119" s="75" t="n"/>
      <c r="C119" s="77" t="n"/>
      <c r="D119" s="76" t="n"/>
      <c r="E119" s="75" t="n"/>
      <c r="F119" s="76" t="n"/>
      <c r="G119" s="76" t="n"/>
      <c r="H119" s="76" t="n"/>
      <c r="I119" s="76" t="n"/>
      <c r="J119" s="77" t="n"/>
      <c r="K119" s="75" t="n"/>
      <c r="L119" s="79">
        <f>IF(NOT(ISNUMBER(C119)),"",IF(ISNUMBER(N119),N119-C119,TODAY()-C119))</f>
        <v/>
      </c>
      <c r="M119" s="76" t="n"/>
      <c r="N119" s="77" t="n"/>
      <c r="O119" s="84">
        <f>IF(OR(M119="",P119=""),"",IF(EXACT(TRIM(M119),TRIM(P119)),"SELF-VERIFIED",""))</f>
        <v/>
      </c>
      <c r="P119" s="75" t="n"/>
      <c r="Q119" s="79">
        <f>IF(AND(K119="open",ISNUMBER(L119)),L119,"")</f>
        <v/>
      </c>
    </row>
    <row r="120" ht="33.75" customHeight="1" s="38">
      <c r="A120" s="80" t="n"/>
      <c r="B120" s="80" t="n"/>
      <c r="C120" s="82" t="n"/>
      <c r="D120" s="81" t="n"/>
      <c r="E120" s="80" t="n"/>
      <c r="F120" s="81" t="n"/>
      <c r="G120" s="81" t="n"/>
      <c r="H120" s="81" t="n"/>
      <c r="I120" s="81" t="n"/>
      <c r="J120" s="82" t="n"/>
      <c r="K120" s="80" t="n"/>
      <c r="L120" s="79">
        <f>IF(NOT(ISNUMBER(C120)),"",IF(ISNUMBER(N120),N120-C120,TODAY()-C120))</f>
        <v/>
      </c>
      <c r="M120" s="81" t="n"/>
      <c r="N120" s="82" t="n"/>
      <c r="O120" s="84">
        <f>IF(OR(M120="",P120=""),"",IF(EXACT(TRIM(M120),TRIM(P120)),"SELF-VERIFIED",""))</f>
        <v/>
      </c>
      <c r="P120" s="80" t="n"/>
      <c r="Q120" s="79">
        <f>IF(AND(K120="open",ISNUMBER(L120)),L120,"")</f>
        <v/>
      </c>
    </row>
    <row r="121" ht="33.75" customHeight="1" s="38">
      <c r="A121" s="75" t="n"/>
      <c r="B121" s="75" t="n"/>
      <c r="C121" s="77" t="n"/>
      <c r="D121" s="76" t="n"/>
      <c r="E121" s="75" t="n"/>
      <c r="F121" s="76" t="n"/>
      <c r="G121" s="76" t="n"/>
      <c r="H121" s="76" t="n"/>
      <c r="I121" s="76" t="n"/>
      <c r="J121" s="77" t="n"/>
      <c r="K121" s="75" t="n"/>
      <c r="L121" s="79">
        <f>IF(NOT(ISNUMBER(C121)),"",IF(ISNUMBER(N121),N121-C121,TODAY()-C121))</f>
        <v/>
      </c>
      <c r="M121" s="76" t="n"/>
      <c r="N121" s="77" t="n"/>
      <c r="O121" s="84">
        <f>IF(OR(M121="",P121=""),"",IF(EXACT(TRIM(M121),TRIM(P121)),"SELF-VERIFIED",""))</f>
        <v/>
      </c>
      <c r="P121" s="75" t="n"/>
      <c r="Q121" s="79">
        <f>IF(AND(K121="open",ISNUMBER(L121)),L121,"")</f>
        <v/>
      </c>
    </row>
    <row r="122" ht="33.75" customHeight="1" s="38">
      <c r="A122" s="80" t="n"/>
      <c r="B122" s="80" t="n"/>
      <c r="C122" s="82" t="n"/>
      <c r="D122" s="81" t="n"/>
      <c r="E122" s="80" t="n"/>
      <c r="F122" s="81" t="n"/>
      <c r="G122" s="81" t="n"/>
      <c r="H122" s="81" t="n"/>
      <c r="I122" s="81" t="n"/>
      <c r="J122" s="82" t="n"/>
      <c r="K122" s="80" t="n"/>
      <c r="L122" s="79">
        <f>IF(NOT(ISNUMBER(C122)),"",IF(ISNUMBER(N122),N122-C122,TODAY()-C122))</f>
        <v/>
      </c>
      <c r="M122" s="81" t="n"/>
      <c r="N122" s="82" t="n"/>
      <c r="O122" s="84">
        <f>IF(OR(M122="",P122=""),"",IF(EXACT(TRIM(M122),TRIM(P122)),"SELF-VERIFIED",""))</f>
        <v/>
      </c>
      <c r="P122" s="80" t="n"/>
      <c r="Q122" s="79">
        <f>IF(AND(K122="open",ISNUMBER(L122)),L122,"")</f>
        <v/>
      </c>
    </row>
    <row r="123" ht="33.75" customHeight="1" s="38">
      <c r="A123" s="75" t="n"/>
      <c r="B123" s="75" t="n"/>
      <c r="C123" s="77" t="n"/>
      <c r="D123" s="76" t="n"/>
      <c r="E123" s="75" t="n"/>
      <c r="F123" s="76" t="n"/>
      <c r="G123" s="76" t="n"/>
      <c r="H123" s="76" t="n"/>
      <c r="I123" s="76" t="n"/>
      <c r="J123" s="77" t="n"/>
      <c r="K123" s="75" t="n"/>
      <c r="L123" s="79">
        <f>IF(NOT(ISNUMBER(C123)),"",IF(ISNUMBER(N123),N123-C123,TODAY()-C123))</f>
        <v/>
      </c>
      <c r="M123" s="76" t="n"/>
      <c r="N123" s="77" t="n"/>
      <c r="O123" s="84">
        <f>IF(OR(M123="",P123=""),"",IF(EXACT(TRIM(M123),TRIM(P123)),"SELF-VERIFIED",""))</f>
        <v/>
      </c>
      <c r="P123" s="75" t="n"/>
      <c r="Q123" s="79">
        <f>IF(AND(K123="open",ISNUMBER(L123)),L123,"")</f>
        <v/>
      </c>
    </row>
    <row r="124" ht="33.75" customHeight="1" s="38">
      <c r="A124" s="80" t="n"/>
      <c r="B124" s="80" t="n"/>
      <c r="C124" s="82" t="n"/>
      <c r="D124" s="81" t="n"/>
      <c r="E124" s="80" t="n"/>
      <c r="F124" s="81" t="n"/>
      <c r="G124" s="81" t="n"/>
      <c r="H124" s="81" t="n"/>
      <c r="I124" s="81" t="n"/>
      <c r="J124" s="82" t="n"/>
      <c r="K124" s="80" t="n"/>
      <c r="L124" s="79">
        <f>IF(NOT(ISNUMBER(C124)),"",IF(ISNUMBER(N124),N124-C124,TODAY()-C124))</f>
        <v/>
      </c>
      <c r="M124" s="81" t="n"/>
      <c r="N124" s="82" t="n"/>
      <c r="O124" s="84">
        <f>IF(OR(M124="",P124=""),"",IF(EXACT(TRIM(M124),TRIM(P124)),"SELF-VERIFIED",""))</f>
        <v/>
      </c>
      <c r="P124" s="80" t="n"/>
      <c r="Q124" s="79">
        <f>IF(AND(K124="open",ISNUMBER(L124)),L124,"")</f>
        <v/>
      </c>
    </row>
    <row r="125" ht="33.75" customHeight="1" s="38">
      <c r="A125" s="75" t="n"/>
      <c r="B125" s="75" t="n"/>
      <c r="C125" s="77" t="n"/>
      <c r="D125" s="76" t="n"/>
      <c r="E125" s="75" t="n"/>
      <c r="F125" s="76" t="n"/>
      <c r="G125" s="76" t="n"/>
      <c r="H125" s="76" t="n"/>
      <c r="I125" s="76" t="n"/>
      <c r="J125" s="77" t="n"/>
      <c r="K125" s="75" t="n"/>
      <c r="L125" s="79">
        <f>IF(NOT(ISNUMBER(C125)),"",IF(ISNUMBER(N125),N125-C125,TODAY()-C125))</f>
        <v/>
      </c>
      <c r="M125" s="76" t="n"/>
      <c r="N125" s="77" t="n"/>
      <c r="O125" s="84">
        <f>IF(OR(M125="",P125=""),"",IF(EXACT(TRIM(M125),TRIM(P125)),"SELF-VERIFIED",""))</f>
        <v/>
      </c>
      <c r="P125" s="75" t="n"/>
      <c r="Q125" s="79">
        <f>IF(AND(K125="open",ISNUMBER(L125)),L125,"")</f>
        <v/>
      </c>
    </row>
    <row r="126" ht="33.75" customHeight="1" s="38">
      <c r="A126" s="80" t="n"/>
      <c r="B126" s="80" t="n"/>
      <c r="C126" s="82" t="n"/>
      <c r="D126" s="81" t="n"/>
      <c r="E126" s="80" t="n"/>
      <c r="F126" s="81" t="n"/>
      <c r="G126" s="81" t="n"/>
      <c r="H126" s="81" t="n"/>
      <c r="I126" s="81" t="n"/>
      <c r="J126" s="82" t="n"/>
      <c r="K126" s="80" t="n"/>
      <c r="L126" s="79">
        <f>IF(NOT(ISNUMBER(C126)),"",IF(ISNUMBER(N126),N126-C126,TODAY()-C126))</f>
        <v/>
      </c>
      <c r="M126" s="81" t="n"/>
      <c r="N126" s="82" t="n"/>
      <c r="O126" s="84">
        <f>IF(OR(M126="",P126=""),"",IF(EXACT(TRIM(M126),TRIM(P126)),"SELF-VERIFIED",""))</f>
        <v/>
      </c>
      <c r="P126" s="80" t="n"/>
      <c r="Q126" s="79">
        <f>IF(AND(K126="open",ISNUMBER(L126)),L126,"")</f>
        <v/>
      </c>
    </row>
    <row r="127" ht="33.75" customHeight="1" s="38">
      <c r="A127" s="75" t="n"/>
      <c r="B127" s="75" t="n"/>
      <c r="C127" s="77" t="n"/>
      <c r="D127" s="76" t="n"/>
      <c r="E127" s="75" t="n"/>
      <c r="F127" s="76" t="n"/>
      <c r="G127" s="76" t="n"/>
      <c r="H127" s="76" t="n"/>
      <c r="I127" s="76" t="n"/>
      <c r="J127" s="77" t="n"/>
      <c r="K127" s="75" t="n"/>
      <c r="L127" s="79">
        <f>IF(NOT(ISNUMBER(C127)),"",IF(ISNUMBER(N127),N127-C127,TODAY()-C127))</f>
        <v/>
      </c>
      <c r="M127" s="76" t="n"/>
      <c r="N127" s="77" t="n"/>
      <c r="O127" s="84">
        <f>IF(OR(M127="",P127=""),"",IF(EXACT(TRIM(M127),TRIM(P127)),"SELF-VERIFIED",""))</f>
        <v/>
      </c>
      <c r="P127" s="75" t="n"/>
      <c r="Q127" s="79">
        <f>IF(AND(K127="open",ISNUMBER(L127)),L127,"")</f>
        <v/>
      </c>
    </row>
    <row r="128" ht="33.75" customHeight="1" s="38">
      <c r="A128" s="80" t="n"/>
      <c r="B128" s="80" t="n"/>
      <c r="C128" s="82" t="n"/>
      <c r="D128" s="81" t="n"/>
      <c r="E128" s="80" t="n"/>
      <c r="F128" s="81" t="n"/>
      <c r="G128" s="81" t="n"/>
      <c r="H128" s="81" t="n"/>
      <c r="I128" s="81" t="n"/>
      <c r="J128" s="82" t="n"/>
      <c r="K128" s="80" t="n"/>
      <c r="L128" s="79">
        <f>IF(NOT(ISNUMBER(C128)),"",IF(ISNUMBER(N128),N128-C128,TODAY()-C128))</f>
        <v/>
      </c>
      <c r="M128" s="81" t="n"/>
      <c r="N128" s="82" t="n"/>
      <c r="O128" s="84">
        <f>IF(OR(M128="",P128=""),"",IF(EXACT(TRIM(M128),TRIM(P128)),"SELF-VERIFIED",""))</f>
        <v/>
      </c>
      <c r="P128" s="80" t="n"/>
      <c r="Q128" s="79">
        <f>IF(AND(K128="open",ISNUMBER(L128)),L128,"")</f>
        <v/>
      </c>
    </row>
    <row r="129" ht="33.75" customHeight="1" s="38">
      <c r="A129" s="75" t="n"/>
      <c r="B129" s="75" t="n"/>
      <c r="C129" s="77" t="n"/>
      <c r="D129" s="76" t="n"/>
      <c r="E129" s="75" t="n"/>
      <c r="F129" s="76" t="n"/>
      <c r="G129" s="76" t="n"/>
      <c r="H129" s="76" t="n"/>
      <c r="I129" s="76" t="n"/>
      <c r="J129" s="77" t="n"/>
      <c r="K129" s="75" t="n"/>
      <c r="L129" s="79">
        <f>IF(NOT(ISNUMBER(C129)),"",IF(ISNUMBER(N129),N129-C129,TODAY()-C129))</f>
        <v/>
      </c>
      <c r="M129" s="76" t="n"/>
      <c r="N129" s="77" t="n"/>
      <c r="O129" s="84">
        <f>IF(OR(M129="",P129=""),"",IF(EXACT(TRIM(M129),TRIM(P129)),"SELF-VERIFIED",""))</f>
        <v/>
      </c>
      <c r="P129" s="75" t="n"/>
      <c r="Q129" s="79">
        <f>IF(AND(K129="open",ISNUMBER(L129)),L129,"")</f>
        <v/>
      </c>
    </row>
    <row r="130" ht="33.75" customHeight="1" s="38">
      <c r="A130" s="80" t="n"/>
      <c r="B130" s="80" t="n"/>
      <c r="C130" s="82" t="n"/>
      <c r="D130" s="81" t="n"/>
      <c r="E130" s="80" t="n"/>
      <c r="F130" s="81" t="n"/>
      <c r="G130" s="81" t="n"/>
      <c r="H130" s="81" t="n"/>
      <c r="I130" s="81" t="n"/>
      <c r="J130" s="82" t="n"/>
      <c r="K130" s="80" t="n"/>
      <c r="L130" s="79">
        <f>IF(NOT(ISNUMBER(C130)),"",IF(ISNUMBER(N130),N130-C130,TODAY()-C130))</f>
        <v/>
      </c>
      <c r="M130" s="81" t="n"/>
      <c r="N130" s="82" t="n"/>
      <c r="O130" s="84">
        <f>IF(OR(M130="",P130=""),"",IF(EXACT(TRIM(M130),TRIM(P130)),"SELF-VERIFIED",""))</f>
        <v/>
      </c>
      <c r="P130" s="80" t="n"/>
      <c r="Q130" s="79">
        <f>IF(AND(K130="open",ISNUMBER(L130)),L130,"")</f>
        <v/>
      </c>
    </row>
    <row r="131" ht="33.75" customHeight="1" s="38">
      <c r="A131" s="75" t="n"/>
      <c r="B131" s="75" t="n"/>
      <c r="C131" s="77" t="n"/>
      <c r="D131" s="76" t="n"/>
      <c r="E131" s="75" t="n"/>
      <c r="F131" s="76" t="n"/>
      <c r="G131" s="76" t="n"/>
      <c r="H131" s="76" t="n"/>
      <c r="I131" s="76" t="n"/>
      <c r="J131" s="77" t="n"/>
      <c r="K131" s="75" t="n"/>
      <c r="L131" s="79">
        <f>IF(NOT(ISNUMBER(C131)),"",IF(ISNUMBER(N131),N131-C131,TODAY()-C131))</f>
        <v/>
      </c>
      <c r="M131" s="76" t="n"/>
      <c r="N131" s="77" t="n"/>
      <c r="O131" s="84">
        <f>IF(OR(M131="",P131=""),"",IF(EXACT(TRIM(M131),TRIM(P131)),"SELF-VERIFIED",""))</f>
        <v/>
      </c>
      <c r="P131" s="75" t="n"/>
      <c r="Q131" s="79">
        <f>IF(AND(K131="open",ISNUMBER(L131)),L131,"")</f>
        <v/>
      </c>
    </row>
    <row r="132" ht="33.75" customHeight="1" s="38">
      <c r="A132" s="80" t="n"/>
      <c r="B132" s="80" t="n"/>
      <c r="C132" s="82" t="n"/>
      <c r="D132" s="81" t="n"/>
      <c r="E132" s="80" t="n"/>
      <c r="F132" s="81" t="n"/>
      <c r="G132" s="81" t="n"/>
      <c r="H132" s="81" t="n"/>
      <c r="I132" s="81" t="n"/>
      <c r="J132" s="82" t="n"/>
      <c r="K132" s="80" t="n"/>
      <c r="L132" s="79">
        <f>IF(NOT(ISNUMBER(C132)),"",IF(ISNUMBER(N132),N132-C132,TODAY()-C132))</f>
        <v/>
      </c>
      <c r="M132" s="81" t="n"/>
      <c r="N132" s="82" t="n"/>
      <c r="O132" s="84">
        <f>IF(OR(M132="",P132=""),"",IF(EXACT(TRIM(M132),TRIM(P132)),"SELF-VERIFIED",""))</f>
        <v/>
      </c>
      <c r="P132" s="80" t="n"/>
      <c r="Q132" s="79">
        <f>IF(AND(K132="open",ISNUMBER(L132)),L132,"")</f>
        <v/>
      </c>
    </row>
    <row r="133" ht="33.75" customHeight="1" s="38">
      <c r="A133" s="75" t="n"/>
      <c r="B133" s="75" t="n"/>
      <c r="C133" s="77" t="n"/>
      <c r="D133" s="76" t="n"/>
      <c r="E133" s="75" t="n"/>
      <c r="F133" s="76" t="n"/>
      <c r="G133" s="76" t="n"/>
      <c r="H133" s="76" t="n"/>
      <c r="I133" s="76" t="n"/>
      <c r="J133" s="77" t="n"/>
      <c r="K133" s="75" t="n"/>
      <c r="L133" s="79">
        <f>IF(NOT(ISNUMBER(C133)),"",IF(ISNUMBER(N133),N133-C133,TODAY()-C133))</f>
        <v/>
      </c>
      <c r="M133" s="76" t="n"/>
      <c r="N133" s="77" t="n"/>
      <c r="O133" s="84">
        <f>IF(OR(M133="",P133=""),"",IF(EXACT(TRIM(M133),TRIM(P133)),"SELF-VERIFIED",""))</f>
        <v/>
      </c>
      <c r="P133" s="75" t="n"/>
      <c r="Q133" s="79">
        <f>IF(AND(K133="open",ISNUMBER(L133)),L133,"")</f>
        <v/>
      </c>
    </row>
    <row r="134" ht="33.75" customHeight="1" s="38">
      <c r="A134" s="80" t="n"/>
      <c r="B134" s="80" t="n"/>
      <c r="C134" s="82" t="n"/>
      <c r="D134" s="81" t="n"/>
      <c r="E134" s="80" t="n"/>
      <c r="F134" s="81" t="n"/>
      <c r="G134" s="81" t="n"/>
      <c r="H134" s="81" t="n"/>
      <c r="I134" s="81" t="n"/>
      <c r="J134" s="82" t="n"/>
      <c r="K134" s="80" t="n"/>
      <c r="L134" s="79">
        <f>IF(NOT(ISNUMBER(C134)),"",IF(ISNUMBER(N134),N134-C134,TODAY()-C134))</f>
        <v/>
      </c>
      <c r="M134" s="81" t="n"/>
      <c r="N134" s="82" t="n"/>
      <c r="O134" s="84">
        <f>IF(OR(M134="",P134=""),"",IF(EXACT(TRIM(M134),TRIM(P134)),"SELF-VERIFIED",""))</f>
        <v/>
      </c>
      <c r="P134" s="80" t="n"/>
      <c r="Q134" s="79">
        <f>IF(AND(K134="open",ISNUMBER(L134)),L134,"")</f>
        <v/>
      </c>
    </row>
    <row r="135" ht="33.75" customHeight="1" s="38">
      <c r="A135" s="75" t="n"/>
      <c r="B135" s="75" t="n"/>
      <c r="C135" s="77" t="n"/>
      <c r="D135" s="76" t="n"/>
      <c r="E135" s="75" t="n"/>
      <c r="F135" s="76" t="n"/>
      <c r="G135" s="76" t="n"/>
      <c r="H135" s="76" t="n"/>
      <c r="I135" s="76" t="n"/>
      <c r="J135" s="77" t="n"/>
      <c r="K135" s="75" t="n"/>
      <c r="L135" s="79">
        <f>IF(NOT(ISNUMBER(C135)),"",IF(ISNUMBER(N135),N135-C135,TODAY()-C135))</f>
        <v/>
      </c>
      <c r="M135" s="76" t="n"/>
      <c r="N135" s="77" t="n"/>
      <c r="O135" s="84">
        <f>IF(OR(M135="",P135=""),"",IF(EXACT(TRIM(M135),TRIM(P135)),"SELF-VERIFIED",""))</f>
        <v/>
      </c>
      <c r="P135" s="75" t="n"/>
      <c r="Q135" s="79">
        <f>IF(AND(K135="open",ISNUMBER(L135)),L135,"")</f>
        <v/>
      </c>
    </row>
    <row r="136" ht="33.75" customHeight="1" s="38">
      <c r="A136" s="80" t="n"/>
      <c r="B136" s="80" t="n"/>
      <c r="C136" s="82" t="n"/>
      <c r="D136" s="81" t="n"/>
      <c r="E136" s="80" t="n"/>
      <c r="F136" s="81" t="n"/>
      <c r="G136" s="81" t="n"/>
      <c r="H136" s="81" t="n"/>
      <c r="I136" s="81" t="n"/>
      <c r="J136" s="82" t="n"/>
      <c r="K136" s="80" t="n"/>
      <c r="L136" s="79">
        <f>IF(NOT(ISNUMBER(C136)),"",IF(ISNUMBER(N136),N136-C136,TODAY()-C136))</f>
        <v/>
      </c>
      <c r="M136" s="81" t="n"/>
      <c r="N136" s="82" t="n"/>
      <c r="O136" s="84">
        <f>IF(OR(M136="",P136=""),"",IF(EXACT(TRIM(M136),TRIM(P136)),"SELF-VERIFIED",""))</f>
        <v/>
      </c>
      <c r="P136" s="80" t="n"/>
      <c r="Q136" s="79">
        <f>IF(AND(K136="open",ISNUMBER(L136)),L136,"")</f>
        <v/>
      </c>
    </row>
    <row r="137" ht="33.75" customHeight="1" s="38">
      <c r="A137" s="75" t="n"/>
      <c r="B137" s="75" t="n"/>
      <c r="C137" s="77" t="n"/>
      <c r="D137" s="76" t="n"/>
      <c r="E137" s="75" t="n"/>
      <c r="F137" s="76" t="n"/>
      <c r="G137" s="76" t="n"/>
      <c r="H137" s="76" t="n"/>
      <c r="I137" s="76" t="n"/>
      <c r="J137" s="77" t="n"/>
      <c r="K137" s="75" t="n"/>
      <c r="L137" s="79">
        <f>IF(NOT(ISNUMBER(C137)),"",IF(ISNUMBER(N137),N137-C137,TODAY()-C137))</f>
        <v/>
      </c>
      <c r="M137" s="76" t="n"/>
      <c r="N137" s="77" t="n"/>
      <c r="O137" s="84">
        <f>IF(OR(M137="",P137=""),"",IF(EXACT(TRIM(M137),TRIM(P137)),"SELF-VERIFIED",""))</f>
        <v/>
      </c>
      <c r="P137" s="75" t="n"/>
      <c r="Q137" s="79">
        <f>IF(AND(K137="open",ISNUMBER(L137)),L137,"")</f>
        <v/>
      </c>
    </row>
    <row r="138" ht="33.75" customHeight="1" s="38">
      <c r="A138" s="80" t="n"/>
      <c r="B138" s="80" t="n"/>
      <c r="C138" s="82" t="n"/>
      <c r="D138" s="81" t="n"/>
      <c r="E138" s="80" t="n"/>
      <c r="F138" s="81" t="n"/>
      <c r="G138" s="81" t="n"/>
      <c r="H138" s="81" t="n"/>
      <c r="I138" s="81" t="n"/>
      <c r="J138" s="82" t="n"/>
      <c r="K138" s="80" t="n"/>
      <c r="L138" s="79">
        <f>IF(NOT(ISNUMBER(C138)),"",IF(ISNUMBER(N138),N138-C138,TODAY()-C138))</f>
        <v/>
      </c>
      <c r="M138" s="81" t="n"/>
      <c r="N138" s="82" t="n"/>
      <c r="O138" s="84">
        <f>IF(OR(M138="",P138=""),"",IF(EXACT(TRIM(M138),TRIM(P138)),"SELF-VERIFIED",""))</f>
        <v/>
      </c>
      <c r="P138" s="80" t="n"/>
      <c r="Q138" s="79">
        <f>IF(AND(K138="open",ISNUMBER(L138)),L138,"")</f>
        <v/>
      </c>
    </row>
    <row r="139" ht="33.75" customHeight="1" s="38">
      <c r="A139" s="75" t="n"/>
      <c r="B139" s="75" t="n"/>
      <c r="C139" s="77" t="n"/>
      <c r="D139" s="76" t="n"/>
      <c r="E139" s="75" t="n"/>
      <c r="F139" s="76" t="n"/>
      <c r="G139" s="76" t="n"/>
      <c r="H139" s="76" t="n"/>
      <c r="I139" s="76" t="n"/>
      <c r="J139" s="77" t="n"/>
      <c r="K139" s="75" t="n"/>
      <c r="L139" s="79">
        <f>IF(NOT(ISNUMBER(C139)),"",IF(ISNUMBER(N139),N139-C139,TODAY()-C139))</f>
        <v/>
      </c>
      <c r="M139" s="76" t="n"/>
      <c r="N139" s="77" t="n"/>
      <c r="O139" s="84">
        <f>IF(OR(M139="",P139=""),"",IF(EXACT(TRIM(M139),TRIM(P139)),"SELF-VERIFIED",""))</f>
        <v/>
      </c>
      <c r="P139" s="75" t="n"/>
      <c r="Q139" s="79">
        <f>IF(AND(K139="open",ISNUMBER(L139)),L139,"")</f>
        <v/>
      </c>
    </row>
    <row r="140" ht="33.75" customHeight="1" s="38">
      <c r="A140" s="80" t="n"/>
      <c r="B140" s="80" t="n"/>
      <c r="C140" s="82" t="n"/>
      <c r="D140" s="81" t="n"/>
      <c r="E140" s="80" t="n"/>
      <c r="F140" s="81" t="n"/>
      <c r="G140" s="81" t="n"/>
      <c r="H140" s="81" t="n"/>
      <c r="I140" s="81" t="n"/>
      <c r="J140" s="82" t="n"/>
      <c r="K140" s="80" t="n"/>
      <c r="L140" s="79">
        <f>IF(NOT(ISNUMBER(C140)),"",IF(ISNUMBER(N140),N140-C140,TODAY()-C140))</f>
        <v/>
      </c>
      <c r="M140" s="81" t="n"/>
      <c r="N140" s="82" t="n"/>
      <c r="O140" s="84">
        <f>IF(OR(M140="",P140=""),"",IF(EXACT(TRIM(M140),TRIM(P140)),"SELF-VERIFIED",""))</f>
        <v/>
      </c>
      <c r="P140" s="80" t="n"/>
      <c r="Q140" s="79">
        <f>IF(AND(K140="open",ISNUMBER(L140)),L140,"")</f>
        <v/>
      </c>
    </row>
    <row r="141" ht="33.75" customHeight="1" s="38">
      <c r="A141" s="75" t="n"/>
      <c r="B141" s="75" t="n"/>
      <c r="C141" s="77" t="n"/>
      <c r="D141" s="76" t="n"/>
      <c r="E141" s="75" t="n"/>
      <c r="F141" s="76" t="n"/>
      <c r="G141" s="76" t="n"/>
      <c r="H141" s="76" t="n"/>
      <c r="I141" s="76" t="n"/>
      <c r="J141" s="77" t="n"/>
      <c r="K141" s="75" t="n"/>
      <c r="L141" s="79">
        <f>IF(NOT(ISNUMBER(C141)),"",IF(ISNUMBER(N141),N141-C141,TODAY()-C141))</f>
        <v/>
      </c>
      <c r="M141" s="76" t="n"/>
      <c r="N141" s="77" t="n"/>
      <c r="O141" s="84">
        <f>IF(OR(M141="",P141=""),"",IF(EXACT(TRIM(M141),TRIM(P141)),"SELF-VERIFIED",""))</f>
        <v/>
      </c>
      <c r="P141" s="75" t="n"/>
      <c r="Q141" s="79">
        <f>IF(AND(K141="open",ISNUMBER(L141)),L141,"")</f>
        <v/>
      </c>
    </row>
    <row r="142" ht="33.75" customHeight="1" s="38">
      <c r="A142" s="80" t="n"/>
      <c r="B142" s="80" t="n"/>
      <c r="C142" s="82" t="n"/>
      <c r="D142" s="81" t="n"/>
      <c r="E142" s="80" t="n"/>
      <c r="F142" s="81" t="n"/>
      <c r="G142" s="81" t="n"/>
      <c r="H142" s="81" t="n"/>
      <c r="I142" s="81" t="n"/>
      <c r="J142" s="82" t="n"/>
      <c r="K142" s="80" t="n"/>
      <c r="L142" s="79">
        <f>IF(NOT(ISNUMBER(C142)),"",IF(ISNUMBER(N142),N142-C142,TODAY()-C142))</f>
        <v/>
      </c>
      <c r="M142" s="81" t="n"/>
      <c r="N142" s="82" t="n"/>
      <c r="O142" s="84">
        <f>IF(OR(M142="",P142=""),"",IF(EXACT(TRIM(M142),TRIM(P142)),"SELF-VERIFIED",""))</f>
        <v/>
      </c>
      <c r="P142" s="80" t="n"/>
      <c r="Q142" s="79">
        <f>IF(AND(K142="open",ISNUMBER(L142)),L142,"")</f>
        <v/>
      </c>
    </row>
    <row r="143" ht="33.75" customHeight="1" s="38">
      <c r="A143" s="75" t="n"/>
      <c r="B143" s="75" t="n"/>
      <c r="C143" s="77" t="n"/>
      <c r="D143" s="76" t="n"/>
      <c r="E143" s="75" t="n"/>
      <c r="F143" s="76" t="n"/>
      <c r="G143" s="76" t="n"/>
      <c r="H143" s="76" t="n"/>
      <c r="I143" s="76" t="n"/>
      <c r="J143" s="77" t="n"/>
      <c r="K143" s="75" t="n"/>
      <c r="L143" s="79">
        <f>IF(NOT(ISNUMBER(C143)),"",IF(ISNUMBER(N143),N143-C143,TODAY()-C143))</f>
        <v/>
      </c>
      <c r="M143" s="76" t="n"/>
      <c r="N143" s="77" t="n"/>
      <c r="O143" s="84">
        <f>IF(OR(M143="",P143=""),"",IF(EXACT(TRIM(M143),TRIM(P143)),"SELF-VERIFIED",""))</f>
        <v/>
      </c>
      <c r="P143" s="75" t="n"/>
      <c r="Q143" s="79">
        <f>IF(AND(K143="open",ISNUMBER(L143)),L143,"")</f>
        <v/>
      </c>
    </row>
    <row r="144" ht="33.75" customHeight="1" s="38">
      <c r="A144" s="80" t="n"/>
      <c r="B144" s="80" t="n"/>
      <c r="C144" s="82" t="n"/>
      <c r="D144" s="81" t="n"/>
      <c r="E144" s="80" t="n"/>
      <c r="F144" s="81" t="n"/>
      <c r="G144" s="81" t="n"/>
      <c r="H144" s="81" t="n"/>
      <c r="I144" s="81" t="n"/>
      <c r="J144" s="82" t="n"/>
      <c r="K144" s="80" t="n"/>
      <c r="L144" s="79">
        <f>IF(NOT(ISNUMBER(C144)),"",IF(ISNUMBER(N144),N144-C144,TODAY()-C144))</f>
        <v/>
      </c>
      <c r="M144" s="81" t="n"/>
      <c r="N144" s="82" t="n"/>
      <c r="O144" s="84">
        <f>IF(OR(M144="",P144=""),"",IF(EXACT(TRIM(M144),TRIM(P144)),"SELF-VERIFIED",""))</f>
        <v/>
      </c>
      <c r="P144" s="80" t="n"/>
      <c r="Q144" s="79">
        <f>IF(AND(K144="open",ISNUMBER(L144)),L144,"")</f>
        <v/>
      </c>
    </row>
    <row r="145" ht="33.75" customHeight="1" s="38">
      <c r="A145" s="75" t="n"/>
      <c r="B145" s="75" t="n"/>
      <c r="C145" s="77" t="n"/>
      <c r="D145" s="76" t="n"/>
      <c r="E145" s="75" t="n"/>
      <c r="F145" s="76" t="n"/>
      <c r="G145" s="76" t="n"/>
      <c r="H145" s="76" t="n"/>
      <c r="I145" s="76" t="n"/>
      <c r="J145" s="77" t="n"/>
      <c r="K145" s="75" t="n"/>
      <c r="L145" s="79">
        <f>IF(NOT(ISNUMBER(C145)),"",IF(ISNUMBER(N145),N145-C145,TODAY()-C145))</f>
        <v/>
      </c>
      <c r="M145" s="76" t="n"/>
      <c r="N145" s="77" t="n"/>
      <c r="O145" s="84">
        <f>IF(OR(M145="",P145=""),"",IF(EXACT(TRIM(M145),TRIM(P145)),"SELF-VERIFIED",""))</f>
        <v/>
      </c>
      <c r="P145" s="75" t="n"/>
      <c r="Q145" s="79">
        <f>IF(AND(K145="open",ISNUMBER(L145)),L145,"")</f>
        <v/>
      </c>
    </row>
    <row r="146" ht="33.75" customHeight="1" s="38">
      <c r="A146" s="80" t="n"/>
      <c r="B146" s="80" t="n"/>
      <c r="C146" s="82" t="n"/>
      <c r="D146" s="81" t="n"/>
      <c r="E146" s="80" t="n"/>
      <c r="F146" s="81" t="n"/>
      <c r="G146" s="81" t="n"/>
      <c r="H146" s="81" t="n"/>
      <c r="I146" s="81" t="n"/>
      <c r="J146" s="82" t="n"/>
      <c r="K146" s="80" t="n"/>
      <c r="L146" s="79">
        <f>IF(NOT(ISNUMBER(C146)),"",IF(ISNUMBER(N146),N146-C146,TODAY()-C146))</f>
        <v/>
      </c>
      <c r="M146" s="81" t="n"/>
      <c r="N146" s="82" t="n"/>
      <c r="O146" s="84">
        <f>IF(OR(M146="",P146=""),"",IF(EXACT(TRIM(M146),TRIM(P146)),"SELF-VERIFIED",""))</f>
        <v/>
      </c>
      <c r="P146" s="80" t="n"/>
      <c r="Q146" s="79">
        <f>IF(AND(K146="open",ISNUMBER(L146)),L146,"")</f>
        <v/>
      </c>
    </row>
    <row r="147" ht="33.75" customHeight="1" s="38">
      <c r="A147" s="75" t="n"/>
      <c r="B147" s="75" t="n"/>
      <c r="C147" s="77" t="n"/>
      <c r="D147" s="76" t="n"/>
      <c r="E147" s="75" t="n"/>
      <c r="F147" s="76" t="n"/>
      <c r="G147" s="76" t="n"/>
      <c r="H147" s="76" t="n"/>
      <c r="I147" s="76" t="n"/>
      <c r="J147" s="77" t="n"/>
      <c r="K147" s="75" t="n"/>
      <c r="L147" s="79">
        <f>IF(NOT(ISNUMBER(C147)),"",IF(ISNUMBER(N147),N147-C147,TODAY()-C147))</f>
        <v/>
      </c>
      <c r="M147" s="76" t="n"/>
      <c r="N147" s="77" t="n"/>
      <c r="O147" s="84">
        <f>IF(OR(M147="",P147=""),"",IF(EXACT(TRIM(M147),TRIM(P147)),"SELF-VERIFIED",""))</f>
        <v/>
      </c>
      <c r="P147" s="75" t="n"/>
      <c r="Q147" s="79">
        <f>IF(AND(K147="open",ISNUMBER(L147)),L147,"")</f>
        <v/>
      </c>
    </row>
    <row r="148" ht="33.75" customHeight="1" s="38">
      <c r="A148" s="80" t="n"/>
      <c r="B148" s="80" t="n"/>
      <c r="C148" s="82" t="n"/>
      <c r="D148" s="81" t="n"/>
      <c r="E148" s="80" t="n"/>
      <c r="F148" s="81" t="n"/>
      <c r="G148" s="81" t="n"/>
      <c r="H148" s="81" t="n"/>
      <c r="I148" s="81" t="n"/>
      <c r="J148" s="82" t="n"/>
      <c r="K148" s="80" t="n"/>
      <c r="L148" s="79">
        <f>IF(NOT(ISNUMBER(C148)),"",IF(ISNUMBER(N148),N148-C148,TODAY()-C148))</f>
        <v/>
      </c>
      <c r="M148" s="81" t="n"/>
      <c r="N148" s="82" t="n"/>
      <c r="O148" s="84">
        <f>IF(OR(M148="",P148=""),"",IF(EXACT(TRIM(M148),TRIM(P148)),"SELF-VERIFIED",""))</f>
        <v/>
      </c>
      <c r="P148" s="80" t="n"/>
      <c r="Q148" s="79">
        <f>IF(AND(K148="open",ISNUMBER(L148)),L148,"")</f>
        <v/>
      </c>
    </row>
    <row r="149" ht="33.75" customHeight="1" s="38">
      <c r="A149" s="75" t="n"/>
      <c r="B149" s="75" t="n"/>
      <c r="C149" s="77" t="n"/>
      <c r="D149" s="76" t="n"/>
      <c r="E149" s="75" t="n"/>
      <c r="F149" s="76" t="n"/>
      <c r="G149" s="76" t="n"/>
      <c r="H149" s="76" t="n"/>
      <c r="I149" s="76" t="n"/>
      <c r="J149" s="77" t="n"/>
      <c r="K149" s="75" t="n"/>
      <c r="L149" s="79">
        <f>IF(NOT(ISNUMBER(C149)),"",IF(ISNUMBER(N149),N149-C149,TODAY()-C149))</f>
        <v/>
      </c>
      <c r="M149" s="76" t="n"/>
      <c r="N149" s="77" t="n"/>
      <c r="O149" s="84">
        <f>IF(OR(M149="",P149=""),"",IF(EXACT(TRIM(M149),TRIM(P149)),"SELF-VERIFIED",""))</f>
        <v/>
      </c>
      <c r="P149" s="75" t="n"/>
      <c r="Q149" s="79">
        <f>IF(AND(K149="open",ISNUMBER(L149)),L149,"")</f>
        <v/>
      </c>
    </row>
    <row r="150" ht="33.75" customHeight="1" s="38">
      <c r="A150" s="80" t="n"/>
      <c r="B150" s="80" t="n"/>
      <c r="C150" s="82" t="n"/>
      <c r="D150" s="81" t="n"/>
      <c r="E150" s="80" t="n"/>
      <c r="F150" s="81" t="n"/>
      <c r="G150" s="81" t="n"/>
      <c r="H150" s="81" t="n"/>
      <c r="I150" s="81" t="n"/>
      <c r="J150" s="82" t="n"/>
      <c r="K150" s="80" t="n"/>
      <c r="L150" s="79">
        <f>IF(NOT(ISNUMBER(C150)),"",IF(ISNUMBER(N150),N150-C150,TODAY()-C150))</f>
        <v/>
      </c>
      <c r="M150" s="81" t="n"/>
      <c r="N150" s="82" t="n"/>
      <c r="O150" s="84">
        <f>IF(OR(M150="",P150=""),"",IF(EXACT(TRIM(M150),TRIM(P150)),"SELF-VERIFIED",""))</f>
        <v/>
      </c>
      <c r="P150" s="80" t="n"/>
      <c r="Q150" s="79">
        <f>IF(AND(K150="open",ISNUMBER(L150)),L150,"")</f>
        <v/>
      </c>
    </row>
    <row r="151" ht="33.75" customHeight="1" s="38">
      <c r="A151" s="75" t="n"/>
      <c r="B151" s="75" t="n"/>
      <c r="C151" s="77" t="n"/>
      <c r="D151" s="76" t="n"/>
      <c r="E151" s="75" t="n"/>
      <c r="F151" s="76" t="n"/>
      <c r="G151" s="76" t="n"/>
      <c r="H151" s="76" t="n"/>
      <c r="I151" s="76" t="n"/>
      <c r="J151" s="77" t="n"/>
      <c r="K151" s="75" t="n"/>
      <c r="L151" s="79">
        <f>IF(NOT(ISNUMBER(C151)),"",IF(ISNUMBER(N151),N151-C151,TODAY()-C151))</f>
        <v/>
      </c>
      <c r="M151" s="76" t="n"/>
      <c r="N151" s="77" t="n"/>
      <c r="O151" s="84">
        <f>IF(OR(M151="",P151=""),"",IF(EXACT(TRIM(M151),TRIM(P151)),"SELF-VERIFIED",""))</f>
        <v/>
      </c>
      <c r="P151" s="75" t="n"/>
      <c r="Q151" s="79">
        <f>IF(AND(K151="open",ISNUMBER(L151)),L151,"")</f>
        <v/>
      </c>
    </row>
    <row r="152" ht="33.75" customHeight="1" s="38">
      <c r="A152" s="80" t="n"/>
      <c r="B152" s="80" t="n"/>
      <c r="C152" s="82" t="n"/>
      <c r="D152" s="81" t="n"/>
      <c r="E152" s="80" t="n"/>
      <c r="F152" s="81" t="n"/>
      <c r="G152" s="81" t="n"/>
      <c r="H152" s="81" t="n"/>
      <c r="I152" s="81" t="n"/>
      <c r="J152" s="82" t="n"/>
      <c r="K152" s="80" t="n"/>
      <c r="L152" s="79">
        <f>IF(NOT(ISNUMBER(C152)),"",IF(ISNUMBER(N152),N152-C152,TODAY()-C152))</f>
        <v/>
      </c>
      <c r="M152" s="81" t="n"/>
      <c r="N152" s="82" t="n"/>
      <c r="O152" s="84">
        <f>IF(OR(M152="",P152=""),"",IF(EXACT(TRIM(M152),TRIM(P152)),"SELF-VERIFIED",""))</f>
        <v/>
      </c>
      <c r="P152" s="80" t="n"/>
      <c r="Q152" s="79">
        <f>IF(AND(K152="open",ISNUMBER(L152)),L152,"")</f>
        <v/>
      </c>
    </row>
    <row r="153" ht="33.75" customHeight="1" s="38">
      <c r="A153" s="75" t="n"/>
      <c r="B153" s="75" t="n"/>
      <c r="C153" s="77" t="n"/>
      <c r="D153" s="76" t="n"/>
      <c r="E153" s="75" t="n"/>
      <c r="F153" s="76" t="n"/>
      <c r="G153" s="76" t="n"/>
      <c r="H153" s="76" t="n"/>
      <c r="I153" s="76" t="n"/>
      <c r="J153" s="77" t="n"/>
      <c r="K153" s="75" t="n"/>
      <c r="L153" s="79">
        <f>IF(NOT(ISNUMBER(C153)),"",IF(ISNUMBER(N153),N153-C153,TODAY()-C153))</f>
        <v/>
      </c>
      <c r="M153" s="76" t="n"/>
      <c r="N153" s="77" t="n"/>
      <c r="O153" s="84">
        <f>IF(OR(M153="",P153=""),"",IF(EXACT(TRIM(M153),TRIM(P153)),"SELF-VERIFIED",""))</f>
        <v/>
      </c>
      <c r="P153" s="75" t="n"/>
      <c r="Q153" s="79">
        <f>IF(AND(K153="open",ISNUMBER(L153)),L153,"")</f>
        <v/>
      </c>
    </row>
    <row r="154" ht="33.75" customHeight="1" s="38">
      <c r="A154" s="80" t="n"/>
      <c r="B154" s="80" t="n"/>
      <c r="C154" s="82" t="n"/>
      <c r="D154" s="81" t="n"/>
      <c r="E154" s="80" t="n"/>
      <c r="F154" s="81" t="n"/>
      <c r="G154" s="81" t="n"/>
      <c r="H154" s="81" t="n"/>
      <c r="I154" s="81" t="n"/>
      <c r="J154" s="82" t="n"/>
      <c r="K154" s="80" t="n"/>
      <c r="L154" s="79">
        <f>IF(NOT(ISNUMBER(C154)),"",IF(ISNUMBER(N154),N154-C154,TODAY()-C154))</f>
        <v/>
      </c>
      <c r="M154" s="81" t="n"/>
      <c r="N154" s="82" t="n"/>
      <c r="O154" s="84">
        <f>IF(OR(M154="",P154=""),"",IF(EXACT(TRIM(M154),TRIM(P154)),"SELF-VERIFIED",""))</f>
        <v/>
      </c>
      <c r="P154" s="80" t="n"/>
      <c r="Q154" s="79">
        <f>IF(AND(K154="open",ISNUMBER(L154)),L154,"")</f>
        <v/>
      </c>
    </row>
    <row r="155" ht="33.75" customHeight="1" s="38">
      <c r="A155" s="75" t="n"/>
      <c r="B155" s="75" t="n"/>
      <c r="C155" s="77" t="n"/>
      <c r="D155" s="76" t="n"/>
      <c r="E155" s="75" t="n"/>
      <c r="F155" s="76" t="n"/>
      <c r="G155" s="76" t="n"/>
      <c r="H155" s="76" t="n"/>
      <c r="I155" s="76" t="n"/>
      <c r="J155" s="77" t="n"/>
      <c r="K155" s="75" t="n"/>
      <c r="L155" s="79">
        <f>IF(NOT(ISNUMBER(C155)),"",IF(ISNUMBER(N155),N155-C155,TODAY()-C155))</f>
        <v/>
      </c>
      <c r="M155" s="76" t="n"/>
      <c r="N155" s="77" t="n"/>
      <c r="O155" s="84">
        <f>IF(OR(M155="",P155=""),"",IF(EXACT(TRIM(M155),TRIM(P155)),"SELF-VERIFIED",""))</f>
        <v/>
      </c>
      <c r="P155" s="75" t="n"/>
      <c r="Q155" s="79">
        <f>IF(AND(K155="open",ISNUMBER(L155)),L155,"")</f>
        <v/>
      </c>
    </row>
    <row r="156" ht="33.75" customHeight="1" s="38">
      <c r="A156" s="80" t="n"/>
      <c r="B156" s="80" t="n"/>
      <c r="C156" s="82" t="n"/>
      <c r="D156" s="81" t="n"/>
      <c r="E156" s="80" t="n"/>
      <c r="F156" s="81" t="n"/>
      <c r="G156" s="81" t="n"/>
      <c r="H156" s="81" t="n"/>
      <c r="I156" s="81" t="n"/>
      <c r="J156" s="82" t="n"/>
      <c r="K156" s="80" t="n"/>
      <c r="L156" s="79">
        <f>IF(NOT(ISNUMBER(C156)),"",IF(ISNUMBER(N156),N156-C156,TODAY()-C156))</f>
        <v/>
      </c>
      <c r="M156" s="81" t="n"/>
      <c r="N156" s="82" t="n"/>
      <c r="O156" s="84">
        <f>IF(OR(M156="",P156=""),"",IF(EXACT(TRIM(M156),TRIM(P156)),"SELF-VERIFIED",""))</f>
        <v/>
      </c>
      <c r="P156" s="80" t="n"/>
      <c r="Q156" s="79">
        <f>IF(AND(K156="open",ISNUMBER(L156)),L156,"")</f>
        <v/>
      </c>
    </row>
    <row r="157" ht="33.75" customHeight="1" s="38">
      <c r="A157" s="75" t="n"/>
      <c r="B157" s="75" t="n"/>
      <c r="C157" s="77" t="n"/>
      <c r="D157" s="76" t="n"/>
      <c r="E157" s="75" t="n"/>
      <c r="F157" s="76" t="n"/>
      <c r="G157" s="76" t="n"/>
      <c r="H157" s="76" t="n"/>
      <c r="I157" s="76" t="n"/>
      <c r="J157" s="77" t="n"/>
      <c r="K157" s="75" t="n"/>
      <c r="L157" s="79">
        <f>IF(NOT(ISNUMBER(C157)),"",IF(ISNUMBER(N157),N157-C157,TODAY()-C157))</f>
        <v/>
      </c>
      <c r="M157" s="76" t="n"/>
      <c r="N157" s="77" t="n"/>
      <c r="O157" s="84">
        <f>IF(OR(M157="",P157=""),"",IF(EXACT(TRIM(M157),TRIM(P157)),"SELF-VERIFIED",""))</f>
        <v/>
      </c>
      <c r="P157" s="75" t="n"/>
      <c r="Q157" s="79">
        <f>IF(AND(K157="open",ISNUMBER(L157)),L157,"")</f>
        <v/>
      </c>
    </row>
    <row r="158" ht="33.75" customHeight="1" s="38">
      <c r="A158" s="80" t="n"/>
      <c r="B158" s="80" t="n"/>
      <c r="C158" s="82" t="n"/>
      <c r="D158" s="81" t="n"/>
      <c r="E158" s="80" t="n"/>
      <c r="F158" s="81" t="n"/>
      <c r="G158" s="81" t="n"/>
      <c r="H158" s="81" t="n"/>
      <c r="I158" s="81" t="n"/>
      <c r="J158" s="82" t="n"/>
      <c r="K158" s="80" t="n"/>
      <c r="L158" s="79">
        <f>IF(NOT(ISNUMBER(C158)),"",IF(ISNUMBER(N158),N158-C158,TODAY()-C158))</f>
        <v/>
      </c>
      <c r="M158" s="81" t="n"/>
      <c r="N158" s="82" t="n"/>
      <c r="O158" s="84">
        <f>IF(OR(M158="",P158=""),"",IF(EXACT(TRIM(M158),TRIM(P158)),"SELF-VERIFIED",""))</f>
        <v/>
      </c>
      <c r="P158" s="80" t="n"/>
      <c r="Q158" s="79">
        <f>IF(AND(K158="open",ISNUMBER(L158)),L158,"")</f>
        <v/>
      </c>
    </row>
    <row r="159" ht="33.75" customHeight="1" s="38">
      <c r="A159" s="75" t="n"/>
      <c r="B159" s="75" t="n"/>
      <c r="C159" s="77" t="n"/>
      <c r="D159" s="76" t="n"/>
      <c r="E159" s="75" t="n"/>
      <c r="F159" s="76" t="n"/>
      <c r="G159" s="76" t="n"/>
      <c r="H159" s="76" t="n"/>
      <c r="I159" s="76" t="n"/>
      <c r="J159" s="77" t="n"/>
      <c r="K159" s="75" t="n"/>
      <c r="L159" s="79">
        <f>IF(NOT(ISNUMBER(C159)),"",IF(ISNUMBER(N159),N159-C159,TODAY()-C159))</f>
        <v/>
      </c>
      <c r="M159" s="76" t="n"/>
      <c r="N159" s="77" t="n"/>
      <c r="O159" s="84">
        <f>IF(OR(M159="",P159=""),"",IF(EXACT(TRIM(M159),TRIM(P159)),"SELF-VERIFIED",""))</f>
        <v/>
      </c>
      <c r="P159" s="75" t="n"/>
      <c r="Q159" s="79">
        <f>IF(AND(K159="open",ISNUMBER(L159)),L159,"")</f>
        <v/>
      </c>
    </row>
    <row r="160" ht="33.75" customHeight="1" s="38">
      <c r="A160" s="80" t="n"/>
      <c r="B160" s="80" t="n"/>
      <c r="C160" s="82" t="n"/>
      <c r="D160" s="81" t="n"/>
      <c r="E160" s="80" t="n"/>
      <c r="F160" s="81" t="n"/>
      <c r="G160" s="81" t="n"/>
      <c r="H160" s="81" t="n"/>
      <c r="I160" s="81" t="n"/>
      <c r="J160" s="82" t="n"/>
      <c r="K160" s="80" t="n"/>
      <c r="L160" s="79">
        <f>IF(NOT(ISNUMBER(C160)),"",IF(ISNUMBER(N160),N160-C160,TODAY()-C160))</f>
        <v/>
      </c>
      <c r="M160" s="81" t="n"/>
      <c r="N160" s="82" t="n"/>
      <c r="O160" s="84">
        <f>IF(OR(M160="",P160=""),"",IF(EXACT(TRIM(M160),TRIM(P160)),"SELF-VERIFIED",""))</f>
        <v/>
      </c>
      <c r="P160" s="80" t="n"/>
      <c r="Q160" s="79">
        <f>IF(AND(K160="open",ISNUMBER(L160)),L160,"")</f>
        <v/>
      </c>
    </row>
    <row r="161" ht="33.75" customHeight="1" s="38">
      <c r="A161" s="75" t="n"/>
      <c r="B161" s="75" t="n"/>
      <c r="C161" s="77" t="n"/>
      <c r="D161" s="76" t="n"/>
      <c r="E161" s="75" t="n"/>
      <c r="F161" s="76" t="n"/>
      <c r="G161" s="76" t="n"/>
      <c r="H161" s="76" t="n"/>
      <c r="I161" s="76" t="n"/>
      <c r="J161" s="77" t="n"/>
      <c r="K161" s="75" t="n"/>
      <c r="L161" s="79">
        <f>IF(NOT(ISNUMBER(C161)),"",IF(ISNUMBER(N161),N161-C161,TODAY()-C161))</f>
        <v/>
      </c>
      <c r="M161" s="76" t="n"/>
      <c r="N161" s="77" t="n"/>
      <c r="O161" s="84">
        <f>IF(OR(M161="",P161=""),"",IF(EXACT(TRIM(M161),TRIM(P161)),"SELF-VERIFIED",""))</f>
        <v/>
      </c>
      <c r="P161" s="75" t="n"/>
      <c r="Q161" s="79">
        <f>IF(AND(K161="open",ISNUMBER(L161)),L161,"")</f>
        <v/>
      </c>
    </row>
    <row r="162" ht="33.75" customHeight="1" s="38">
      <c r="A162" s="80" t="n"/>
      <c r="B162" s="80" t="n"/>
      <c r="C162" s="82" t="n"/>
      <c r="D162" s="81" t="n"/>
      <c r="E162" s="80" t="n"/>
      <c r="F162" s="81" t="n"/>
      <c r="G162" s="81" t="n"/>
      <c r="H162" s="81" t="n"/>
      <c r="I162" s="81" t="n"/>
      <c r="J162" s="82" t="n"/>
      <c r="K162" s="80" t="n"/>
      <c r="L162" s="79">
        <f>IF(NOT(ISNUMBER(C162)),"",IF(ISNUMBER(N162),N162-C162,TODAY()-C162))</f>
        <v/>
      </c>
      <c r="M162" s="81" t="n"/>
      <c r="N162" s="82" t="n"/>
      <c r="O162" s="84">
        <f>IF(OR(M162="",P162=""),"",IF(EXACT(TRIM(M162),TRIM(P162)),"SELF-VERIFIED",""))</f>
        <v/>
      </c>
      <c r="P162" s="80" t="n"/>
      <c r="Q162" s="79">
        <f>IF(AND(K162="open",ISNUMBER(L162)),L162,"")</f>
        <v/>
      </c>
    </row>
    <row r="163" ht="33.75" customHeight="1" s="38">
      <c r="A163" s="75" t="n"/>
      <c r="B163" s="75" t="n"/>
      <c r="C163" s="77" t="n"/>
      <c r="D163" s="76" t="n"/>
      <c r="E163" s="75" t="n"/>
      <c r="F163" s="76" t="n"/>
      <c r="G163" s="76" t="n"/>
      <c r="H163" s="76" t="n"/>
      <c r="I163" s="76" t="n"/>
      <c r="J163" s="77" t="n"/>
      <c r="K163" s="75" t="n"/>
      <c r="L163" s="79">
        <f>IF(NOT(ISNUMBER(C163)),"",IF(ISNUMBER(N163),N163-C163,TODAY()-C163))</f>
        <v/>
      </c>
      <c r="M163" s="76" t="n"/>
      <c r="N163" s="77" t="n"/>
      <c r="O163" s="84">
        <f>IF(OR(M163="",P163=""),"",IF(EXACT(TRIM(M163),TRIM(P163)),"SELF-VERIFIED",""))</f>
        <v/>
      </c>
      <c r="P163" s="75" t="n"/>
      <c r="Q163" s="79">
        <f>IF(AND(K163="open",ISNUMBER(L163)),L163,"")</f>
        <v/>
      </c>
    </row>
    <row r="164" ht="33.75" customHeight="1" s="38">
      <c r="A164" s="80" t="n"/>
      <c r="B164" s="80" t="n"/>
      <c r="C164" s="82" t="n"/>
      <c r="D164" s="81" t="n"/>
      <c r="E164" s="80" t="n"/>
      <c r="F164" s="81" t="n"/>
      <c r="G164" s="81" t="n"/>
      <c r="H164" s="81" t="n"/>
      <c r="I164" s="81" t="n"/>
      <c r="J164" s="82" t="n"/>
      <c r="K164" s="80" t="n"/>
      <c r="L164" s="79">
        <f>IF(NOT(ISNUMBER(C164)),"",IF(ISNUMBER(N164),N164-C164,TODAY()-C164))</f>
        <v/>
      </c>
      <c r="M164" s="81" t="n"/>
      <c r="N164" s="82" t="n"/>
      <c r="O164" s="84">
        <f>IF(OR(M164="",P164=""),"",IF(EXACT(TRIM(M164),TRIM(P164)),"SELF-VERIFIED",""))</f>
        <v/>
      </c>
      <c r="P164" s="80" t="n"/>
      <c r="Q164" s="79">
        <f>IF(AND(K164="open",ISNUMBER(L164)),L164,"")</f>
        <v/>
      </c>
    </row>
    <row r="165" ht="33.75" customHeight="1" s="38">
      <c r="A165" s="75" t="n"/>
      <c r="B165" s="75" t="n"/>
      <c r="C165" s="77" t="n"/>
      <c r="D165" s="76" t="n"/>
      <c r="E165" s="75" t="n"/>
      <c r="F165" s="76" t="n"/>
      <c r="G165" s="76" t="n"/>
      <c r="H165" s="76" t="n"/>
      <c r="I165" s="76" t="n"/>
      <c r="J165" s="77" t="n"/>
      <c r="K165" s="75" t="n"/>
      <c r="L165" s="79">
        <f>IF(NOT(ISNUMBER(C165)),"",IF(ISNUMBER(N165),N165-C165,TODAY()-C165))</f>
        <v/>
      </c>
      <c r="M165" s="76" t="n"/>
      <c r="N165" s="77" t="n"/>
      <c r="O165" s="84">
        <f>IF(OR(M165="",P165=""),"",IF(EXACT(TRIM(M165),TRIM(P165)),"SELF-VERIFIED",""))</f>
        <v/>
      </c>
      <c r="P165" s="75" t="n"/>
      <c r="Q165" s="79">
        <f>IF(AND(K165="open",ISNUMBER(L165)),L165,"")</f>
        <v/>
      </c>
    </row>
    <row r="166" ht="33.75" customHeight="1" s="38">
      <c r="A166" s="80" t="n"/>
      <c r="B166" s="80" t="n"/>
      <c r="C166" s="82" t="n"/>
      <c r="D166" s="81" t="n"/>
      <c r="E166" s="80" t="n"/>
      <c r="F166" s="81" t="n"/>
      <c r="G166" s="81" t="n"/>
      <c r="H166" s="81" t="n"/>
      <c r="I166" s="81" t="n"/>
      <c r="J166" s="82" t="n"/>
      <c r="K166" s="80" t="n"/>
      <c r="L166" s="79">
        <f>IF(NOT(ISNUMBER(C166)),"",IF(ISNUMBER(N166),N166-C166,TODAY()-C166))</f>
        <v/>
      </c>
      <c r="M166" s="81" t="n"/>
      <c r="N166" s="82" t="n"/>
      <c r="O166" s="84">
        <f>IF(OR(M166="",P166=""),"",IF(EXACT(TRIM(M166),TRIM(P166)),"SELF-VERIFIED",""))</f>
        <v/>
      </c>
      <c r="P166" s="80" t="n"/>
      <c r="Q166" s="79">
        <f>IF(AND(K166="open",ISNUMBER(L166)),L166,"")</f>
        <v/>
      </c>
    </row>
    <row r="167" ht="33.75" customHeight="1" s="38">
      <c r="A167" s="75" t="n"/>
      <c r="B167" s="75" t="n"/>
      <c r="C167" s="77" t="n"/>
      <c r="D167" s="76" t="n"/>
      <c r="E167" s="75" t="n"/>
      <c r="F167" s="76" t="n"/>
      <c r="G167" s="76" t="n"/>
      <c r="H167" s="76" t="n"/>
      <c r="I167" s="76" t="n"/>
      <c r="J167" s="77" t="n"/>
      <c r="K167" s="75" t="n"/>
      <c r="L167" s="79">
        <f>IF(NOT(ISNUMBER(C167)),"",IF(ISNUMBER(N167),N167-C167,TODAY()-C167))</f>
        <v/>
      </c>
      <c r="M167" s="76" t="n"/>
      <c r="N167" s="77" t="n"/>
      <c r="O167" s="84">
        <f>IF(OR(M167="",P167=""),"",IF(EXACT(TRIM(M167),TRIM(P167)),"SELF-VERIFIED",""))</f>
        <v/>
      </c>
      <c r="P167" s="75" t="n"/>
      <c r="Q167" s="79">
        <f>IF(AND(K167="open",ISNUMBER(L167)),L167,"")</f>
        <v/>
      </c>
    </row>
    <row r="168" ht="33.75" customHeight="1" s="38">
      <c r="A168" s="80" t="n"/>
      <c r="B168" s="80" t="n"/>
      <c r="C168" s="82" t="n"/>
      <c r="D168" s="81" t="n"/>
      <c r="E168" s="80" t="n"/>
      <c r="F168" s="81" t="n"/>
      <c r="G168" s="81" t="n"/>
      <c r="H168" s="81" t="n"/>
      <c r="I168" s="81" t="n"/>
      <c r="J168" s="82" t="n"/>
      <c r="K168" s="80" t="n"/>
      <c r="L168" s="79">
        <f>IF(NOT(ISNUMBER(C168)),"",IF(ISNUMBER(N168),N168-C168,TODAY()-C168))</f>
        <v/>
      </c>
      <c r="M168" s="81" t="n"/>
      <c r="N168" s="82" t="n"/>
      <c r="O168" s="84">
        <f>IF(OR(M168="",P168=""),"",IF(EXACT(TRIM(M168),TRIM(P168)),"SELF-VERIFIED",""))</f>
        <v/>
      </c>
      <c r="P168" s="80" t="n"/>
      <c r="Q168" s="79">
        <f>IF(AND(K168="open",ISNUMBER(L168)),L168,"")</f>
        <v/>
      </c>
    </row>
    <row r="169" ht="33.75" customHeight="1" s="38">
      <c r="A169" s="75" t="n"/>
      <c r="B169" s="75" t="n"/>
      <c r="C169" s="77" t="n"/>
      <c r="D169" s="76" t="n"/>
      <c r="E169" s="75" t="n"/>
      <c r="F169" s="76" t="n"/>
      <c r="G169" s="76" t="n"/>
      <c r="H169" s="76" t="n"/>
      <c r="I169" s="76" t="n"/>
      <c r="J169" s="77" t="n"/>
      <c r="K169" s="75" t="n"/>
      <c r="L169" s="79">
        <f>IF(NOT(ISNUMBER(C169)),"",IF(ISNUMBER(N169),N169-C169,TODAY()-C169))</f>
        <v/>
      </c>
      <c r="M169" s="76" t="n"/>
      <c r="N169" s="77" t="n"/>
      <c r="O169" s="84">
        <f>IF(OR(M169="",P169=""),"",IF(EXACT(TRIM(M169),TRIM(P169)),"SELF-VERIFIED",""))</f>
        <v/>
      </c>
      <c r="P169" s="75" t="n"/>
      <c r="Q169" s="79">
        <f>IF(AND(K169="open",ISNUMBER(L169)),L169,"")</f>
        <v/>
      </c>
    </row>
    <row r="170" ht="33.75" customHeight="1" s="38">
      <c r="A170" s="80" t="n"/>
      <c r="B170" s="80" t="n"/>
      <c r="C170" s="82" t="n"/>
      <c r="D170" s="81" t="n"/>
      <c r="E170" s="80" t="n"/>
      <c r="F170" s="81" t="n"/>
      <c r="G170" s="81" t="n"/>
      <c r="H170" s="81" t="n"/>
      <c r="I170" s="81" t="n"/>
      <c r="J170" s="82" t="n"/>
      <c r="K170" s="80" t="n"/>
      <c r="L170" s="79">
        <f>IF(NOT(ISNUMBER(C170)),"",IF(ISNUMBER(N170),N170-C170,TODAY()-C170))</f>
        <v/>
      </c>
      <c r="M170" s="81" t="n"/>
      <c r="N170" s="82" t="n"/>
      <c r="O170" s="84">
        <f>IF(OR(M170="",P170=""),"",IF(EXACT(TRIM(M170),TRIM(P170)),"SELF-VERIFIED",""))</f>
        <v/>
      </c>
      <c r="P170" s="80" t="n"/>
      <c r="Q170" s="79">
        <f>IF(AND(K170="open",ISNUMBER(L170)),L170,"")</f>
        <v/>
      </c>
    </row>
    <row r="171" ht="33.75" customHeight="1" s="38">
      <c r="A171" s="75" t="n"/>
      <c r="B171" s="75" t="n"/>
      <c r="C171" s="77" t="n"/>
      <c r="D171" s="76" t="n"/>
      <c r="E171" s="75" t="n"/>
      <c r="F171" s="76" t="n"/>
      <c r="G171" s="76" t="n"/>
      <c r="H171" s="76" t="n"/>
      <c r="I171" s="76" t="n"/>
      <c r="J171" s="77" t="n"/>
      <c r="K171" s="75" t="n"/>
      <c r="L171" s="79">
        <f>IF(NOT(ISNUMBER(C171)),"",IF(ISNUMBER(N171),N171-C171,TODAY()-C171))</f>
        <v/>
      </c>
      <c r="M171" s="76" t="n"/>
      <c r="N171" s="77" t="n"/>
      <c r="O171" s="84">
        <f>IF(OR(M171="",P171=""),"",IF(EXACT(TRIM(M171),TRIM(P171)),"SELF-VERIFIED",""))</f>
        <v/>
      </c>
      <c r="P171" s="75" t="n"/>
      <c r="Q171" s="79">
        <f>IF(AND(K171="open",ISNUMBER(L171)),L171,"")</f>
        <v/>
      </c>
    </row>
    <row r="172" ht="33.75" customHeight="1" s="38">
      <c r="A172" s="80" t="n"/>
      <c r="B172" s="80" t="n"/>
      <c r="C172" s="82" t="n"/>
      <c r="D172" s="81" t="n"/>
      <c r="E172" s="80" t="n"/>
      <c r="F172" s="81" t="n"/>
      <c r="G172" s="81" t="n"/>
      <c r="H172" s="81" t="n"/>
      <c r="I172" s="81" t="n"/>
      <c r="J172" s="82" t="n"/>
      <c r="K172" s="80" t="n"/>
      <c r="L172" s="79">
        <f>IF(NOT(ISNUMBER(C172)),"",IF(ISNUMBER(N172),N172-C172,TODAY()-C172))</f>
        <v/>
      </c>
      <c r="M172" s="81" t="n"/>
      <c r="N172" s="82" t="n"/>
      <c r="O172" s="84">
        <f>IF(OR(M172="",P172=""),"",IF(EXACT(TRIM(M172),TRIM(P172)),"SELF-VERIFIED",""))</f>
        <v/>
      </c>
      <c r="P172" s="80" t="n"/>
      <c r="Q172" s="79">
        <f>IF(AND(K172="open",ISNUMBER(L172)),L172,"")</f>
        <v/>
      </c>
    </row>
    <row r="173" ht="33.75" customHeight="1" s="38">
      <c r="A173" s="75" t="n"/>
      <c r="B173" s="75" t="n"/>
      <c r="C173" s="77" t="n"/>
      <c r="D173" s="76" t="n"/>
      <c r="E173" s="75" t="n"/>
      <c r="F173" s="76" t="n"/>
      <c r="G173" s="76" t="n"/>
      <c r="H173" s="76" t="n"/>
      <c r="I173" s="76" t="n"/>
      <c r="J173" s="77" t="n"/>
      <c r="K173" s="75" t="n"/>
      <c r="L173" s="79">
        <f>IF(NOT(ISNUMBER(C173)),"",IF(ISNUMBER(N173),N173-C173,TODAY()-C173))</f>
        <v/>
      </c>
      <c r="M173" s="76" t="n"/>
      <c r="N173" s="77" t="n"/>
      <c r="O173" s="84">
        <f>IF(OR(M173="",P173=""),"",IF(EXACT(TRIM(M173),TRIM(P173)),"SELF-VERIFIED",""))</f>
        <v/>
      </c>
      <c r="P173" s="75" t="n"/>
      <c r="Q173" s="79">
        <f>IF(AND(K173="open",ISNUMBER(L173)),L173,"")</f>
        <v/>
      </c>
    </row>
    <row r="174" ht="33.75" customHeight="1" s="38">
      <c r="A174" s="80" t="n"/>
      <c r="B174" s="80" t="n"/>
      <c r="C174" s="82" t="n"/>
      <c r="D174" s="81" t="n"/>
      <c r="E174" s="80" t="n"/>
      <c r="F174" s="81" t="n"/>
      <c r="G174" s="81" t="n"/>
      <c r="H174" s="81" t="n"/>
      <c r="I174" s="81" t="n"/>
      <c r="J174" s="82" t="n"/>
      <c r="K174" s="80" t="n"/>
      <c r="L174" s="79">
        <f>IF(NOT(ISNUMBER(C174)),"",IF(ISNUMBER(N174),N174-C174,TODAY()-C174))</f>
        <v/>
      </c>
      <c r="M174" s="81" t="n"/>
      <c r="N174" s="82" t="n"/>
      <c r="O174" s="84">
        <f>IF(OR(M174="",P174=""),"",IF(EXACT(TRIM(M174),TRIM(P174)),"SELF-VERIFIED",""))</f>
        <v/>
      </c>
      <c r="P174" s="80" t="n"/>
      <c r="Q174" s="79">
        <f>IF(AND(K174="open",ISNUMBER(L174)),L174,"")</f>
        <v/>
      </c>
    </row>
    <row r="175" ht="33.75" customHeight="1" s="38">
      <c r="A175" s="75" t="n"/>
      <c r="B175" s="75" t="n"/>
      <c r="C175" s="77" t="n"/>
      <c r="D175" s="76" t="n"/>
      <c r="E175" s="75" t="n"/>
      <c r="F175" s="76" t="n"/>
      <c r="G175" s="76" t="n"/>
      <c r="H175" s="76" t="n"/>
      <c r="I175" s="76" t="n"/>
      <c r="J175" s="77" t="n"/>
      <c r="K175" s="75" t="n"/>
      <c r="L175" s="79">
        <f>IF(NOT(ISNUMBER(C175)),"",IF(ISNUMBER(N175),N175-C175,TODAY()-C175))</f>
        <v/>
      </c>
      <c r="M175" s="76" t="n"/>
      <c r="N175" s="77" t="n"/>
      <c r="O175" s="84">
        <f>IF(OR(M175="",P175=""),"",IF(EXACT(TRIM(M175),TRIM(P175)),"SELF-VERIFIED",""))</f>
        <v/>
      </c>
      <c r="P175" s="75" t="n"/>
      <c r="Q175" s="79">
        <f>IF(AND(K175="open",ISNUMBER(L175)),L175,"")</f>
        <v/>
      </c>
    </row>
    <row r="176" ht="33.75" customHeight="1" s="38">
      <c r="A176" s="80" t="n"/>
      <c r="B176" s="80" t="n"/>
      <c r="C176" s="82" t="n"/>
      <c r="D176" s="81" t="n"/>
      <c r="E176" s="80" t="n"/>
      <c r="F176" s="81" t="n"/>
      <c r="G176" s="81" t="n"/>
      <c r="H176" s="81" t="n"/>
      <c r="I176" s="81" t="n"/>
      <c r="J176" s="82" t="n"/>
      <c r="K176" s="80" t="n"/>
      <c r="L176" s="79">
        <f>IF(NOT(ISNUMBER(C176)),"",IF(ISNUMBER(N176),N176-C176,TODAY()-C176))</f>
        <v/>
      </c>
      <c r="M176" s="81" t="n"/>
      <c r="N176" s="82" t="n"/>
      <c r="O176" s="84">
        <f>IF(OR(M176="",P176=""),"",IF(EXACT(TRIM(M176),TRIM(P176)),"SELF-VERIFIED",""))</f>
        <v/>
      </c>
      <c r="P176" s="80" t="n"/>
      <c r="Q176" s="79">
        <f>IF(AND(K176="open",ISNUMBER(L176)),L176,"")</f>
        <v/>
      </c>
    </row>
    <row r="177" ht="33.75" customHeight="1" s="38">
      <c r="A177" s="75" t="n"/>
      <c r="B177" s="75" t="n"/>
      <c r="C177" s="77" t="n"/>
      <c r="D177" s="76" t="n"/>
      <c r="E177" s="75" t="n"/>
      <c r="F177" s="76" t="n"/>
      <c r="G177" s="76" t="n"/>
      <c r="H177" s="76" t="n"/>
      <c r="I177" s="76" t="n"/>
      <c r="J177" s="77" t="n"/>
      <c r="K177" s="75" t="n"/>
      <c r="L177" s="79">
        <f>IF(NOT(ISNUMBER(C177)),"",IF(ISNUMBER(N177),N177-C177,TODAY()-C177))</f>
        <v/>
      </c>
      <c r="M177" s="76" t="n"/>
      <c r="N177" s="77" t="n"/>
      <c r="O177" s="84">
        <f>IF(OR(M177="",P177=""),"",IF(EXACT(TRIM(M177),TRIM(P177)),"SELF-VERIFIED",""))</f>
        <v/>
      </c>
      <c r="P177" s="75" t="n"/>
      <c r="Q177" s="79">
        <f>IF(AND(K177="open",ISNUMBER(L177)),L177,"")</f>
        <v/>
      </c>
    </row>
    <row r="178" ht="33.75" customHeight="1" s="38">
      <c r="A178" s="80" t="n"/>
      <c r="B178" s="80" t="n"/>
      <c r="C178" s="82" t="n"/>
      <c r="D178" s="81" t="n"/>
      <c r="E178" s="80" t="n"/>
      <c r="F178" s="81" t="n"/>
      <c r="G178" s="81" t="n"/>
      <c r="H178" s="81" t="n"/>
      <c r="I178" s="81" t="n"/>
      <c r="J178" s="82" t="n"/>
      <c r="K178" s="80" t="n"/>
      <c r="L178" s="79">
        <f>IF(NOT(ISNUMBER(C178)),"",IF(ISNUMBER(N178),N178-C178,TODAY()-C178))</f>
        <v/>
      </c>
      <c r="M178" s="81" t="n"/>
      <c r="N178" s="82" t="n"/>
      <c r="O178" s="84">
        <f>IF(OR(M178="",P178=""),"",IF(EXACT(TRIM(M178),TRIM(P178)),"SELF-VERIFIED",""))</f>
        <v/>
      </c>
      <c r="P178" s="80" t="n"/>
      <c r="Q178" s="79">
        <f>IF(AND(K178="open",ISNUMBER(L178)),L178,"")</f>
        <v/>
      </c>
    </row>
    <row r="179" ht="33.75" customHeight="1" s="38">
      <c r="A179" s="75" t="n"/>
      <c r="B179" s="75" t="n"/>
      <c r="C179" s="77" t="n"/>
      <c r="D179" s="76" t="n"/>
      <c r="E179" s="75" t="n"/>
      <c r="F179" s="76" t="n"/>
      <c r="G179" s="76" t="n"/>
      <c r="H179" s="76" t="n"/>
      <c r="I179" s="76" t="n"/>
      <c r="J179" s="77" t="n"/>
      <c r="K179" s="75" t="n"/>
      <c r="L179" s="79">
        <f>IF(NOT(ISNUMBER(C179)),"",IF(ISNUMBER(N179),N179-C179,TODAY()-C179))</f>
        <v/>
      </c>
      <c r="M179" s="76" t="n"/>
      <c r="N179" s="77" t="n"/>
      <c r="O179" s="84">
        <f>IF(OR(M179="",P179=""),"",IF(EXACT(TRIM(M179),TRIM(P179)),"SELF-VERIFIED",""))</f>
        <v/>
      </c>
      <c r="P179" s="75" t="n"/>
      <c r="Q179" s="79">
        <f>IF(AND(K179="open",ISNUMBER(L179)),L179,"")</f>
        <v/>
      </c>
    </row>
    <row r="180" ht="33.75" customHeight="1" s="38">
      <c r="A180" s="80" t="n"/>
      <c r="B180" s="80" t="n"/>
      <c r="C180" s="82" t="n"/>
      <c r="D180" s="81" t="n"/>
      <c r="E180" s="80" t="n"/>
      <c r="F180" s="81" t="n"/>
      <c r="G180" s="81" t="n"/>
      <c r="H180" s="81" t="n"/>
      <c r="I180" s="81" t="n"/>
      <c r="J180" s="82" t="n"/>
      <c r="K180" s="80" t="n"/>
      <c r="L180" s="79">
        <f>IF(NOT(ISNUMBER(C180)),"",IF(ISNUMBER(N180),N180-C180,TODAY()-C180))</f>
        <v/>
      </c>
      <c r="M180" s="81" t="n"/>
      <c r="N180" s="82" t="n"/>
      <c r="O180" s="84">
        <f>IF(OR(M180="",P180=""),"",IF(EXACT(TRIM(M180),TRIM(P180)),"SELF-VERIFIED",""))</f>
        <v/>
      </c>
      <c r="P180" s="80" t="n"/>
      <c r="Q180" s="79">
        <f>IF(AND(K180="open",ISNUMBER(L180)),L180,"")</f>
        <v/>
      </c>
    </row>
    <row r="181" ht="33.75" customHeight="1" s="38">
      <c r="A181" s="75" t="n"/>
      <c r="B181" s="75" t="n"/>
      <c r="C181" s="77" t="n"/>
      <c r="D181" s="76" t="n"/>
      <c r="E181" s="75" t="n"/>
      <c r="F181" s="76" t="n"/>
      <c r="G181" s="76" t="n"/>
      <c r="H181" s="76" t="n"/>
      <c r="I181" s="76" t="n"/>
      <c r="J181" s="77" t="n"/>
      <c r="K181" s="75" t="n"/>
      <c r="L181" s="79">
        <f>IF(NOT(ISNUMBER(C181)),"",IF(ISNUMBER(N181),N181-C181,TODAY()-C181))</f>
        <v/>
      </c>
      <c r="M181" s="76" t="n"/>
      <c r="N181" s="77" t="n"/>
      <c r="O181" s="84">
        <f>IF(OR(M181="",P181=""),"",IF(EXACT(TRIM(M181),TRIM(P181)),"SELF-VERIFIED",""))</f>
        <v/>
      </c>
      <c r="P181" s="75" t="n"/>
      <c r="Q181" s="79">
        <f>IF(AND(K181="open",ISNUMBER(L181)),L181,"")</f>
        <v/>
      </c>
    </row>
    <row r="182" ht="33.75" customHeight="1" s="38">
      <c r="A182" s="80" t="n"/>
      <c r="B182" s="80" t="n"/>
      <c r="C182" s="82" t="n"/>
      <c r="D182" s="81" t="n"/>
      <c r="E182" s="80" t="n"/>
      <c r="F182" s="81" t="n"/>
      <c r="G182" s="81" t="n"/>
      <c r="H182" s="81" t="n"/>
      <c r="I182" s="81" t="n"/>
      <c r="J182" s="82" t="n"/>
      <c r="K182" s="80" t="n"/>
      <c r="L182" s="79">
        <f>IF(NOT(ISNUMBER(C182)),"",IF(ISNUMBER(N182),N182-C182,TODAY()-C182))</f>
        <v/>
      </c>
      <c r="M182" s="81" t="n"/>
      <c r="N182" s="82" t="n"/>
      <c r="O182" s="84">
        <f>IF(OR(M182="",P182=""),"",IF(EXACT(TRIM(M182),TRIM(P182)),"SELF-VERIFIED",""))</f>
        <v/>
      </c>
      <c r="P182" s="80" t="n"/>
      <c r="Q182" s="79">
        <f>IF(AND(K182="open",ISNUMBER(L182)),L182,"")</f>
        <v/>
      </c>
    </row>
    <row r="183" ht="33.75" customHeight="1" s="38">
      <c r="A183" s="75" t="n"/>
      <c r="B183" s="75" t="n"/>
      <c r="C183" s="77" t="n"/>
      <c r="D183" s="76" t="n"/>
      <c r="E183" s="75" t="n"/>
      <c r="F183" s="76" t="n"/>
      <c r="G183" s="76" t="n"/>
      <c r="H183" s="76" t="n"/>
      <c r="I183" s="76" t="n"/>
      <c r="J183" s="77" t="n"/>
      <c r="K183" s="75" t="n"/>
      <c r="L183" s="79">
        <f>IF(NOT(ISNUMBER(C183)),"",IF(ISNUMBER(N183),N183-C183,TODAY()-C183))</f>
        <v/>
      </c>
      <c r="M183" s="76" t="n"/>
      <c r="N183" s="77" t="n"/>
      <c r="O183" s="84">
        <f>IF(OR(M183="",P183=""),"",IF(EXACT(TRIM(M183),TRIM(P183)),"SELF-VERIFIED",""))</f>
        <v/>
      </c>
      <c r="P183" s="75" t="n"/>
      <c r="Q183" s="79">
        <f>IF(AND(K183="open",ISNUMBER(L183)),L183,"")</f>
        <v/>
      </c>
    </row>
    <row r="184" ht="33.75" customHeight="1" s="38">
      <c r="A184" s="80" t="n"/>
      <c r="B184" s="80" t="n"/>
      <c r="C184" s="82" t="n"/>
      <c r="D184" s="81" t="n"/>
      <c r="E184" s="80" t="n"/>
      <c r="F184" s="81" t="n"/>
      <c r="G184" s="81" t="n"/>
      <c r="H184" s="81" t="n"/>
      <c r="I184" s="81" t="n"/>
      <c r="J184" s="82" t="n"/>
      <c r="K184" s="80" t="n"/>
      <c r="L184" s="79">
        <f>IF(NOT(ISNUMBER(C184)),"",IF(ISNUMBER(N184),N184-C184,TODAY()-C184))</f>
        <v/>
      </c>
      <c r="M184" s="81" t="n"/>
      <c r="N184" s="82" t="n"/>
      <c r="O184" s="84">
        <f>IF(OR(M184="",P184=""),"",IF(EXACT(TRIM(M184),TRIM(P184)),"SELF-VERIFIED",""))</f>
        <v/>
      </c>
      <c r="P184" s="80" t="n"/>
      <c r="Q184" s="79">
        <f>IF(AND(K184="open",ISNUMBER(L184)),L184,"")</f>
        <v/>
      </c>
    </row>
    <row r="185" ht="33.75" customHeight="1" s="38">
      <c r="A185" s="75" t="n"/>
      <c r="B185" s="75" t="n"/>
      <c r="C185" s="77" t="n"/>
      <c r="D185" s="76" t="n"/>
      <c r="E185" s="75" t="n"/>
      <c r="F185" s="76" t="n"/>
      <c r="G185" s="76" t="n"/>
      <c r="H185" s="76" t="n"/>
      <c r="I185" s="76" t="n"/>
      <c r="J185" s="77" t="n"/>
      <c r="K185" s="75" t="n"/>
      <c r="L185" s="79">
        <f>IF(NOT(ISNUMBER(C185)),"",IF(ISNUMBER(N185),N185-C185,TODAY()-C185))</f>
        <v/>
      </c>
      <c r="M185" s="76" t="n"/>
      <c r="N185" s="77" t="n"/>
      <c r="O185" s="84">
        <f>IF(OR(M185="",P185=""),"",IF(EXACT(TRIM(M185),TRIM(P185)),"SELF-VERIFIED",""))</f>
        <v/>
      </c>
      <c r="P185" s="75" t="n"/>
      <c r="Q185" s="79">
        <f>IF(AND(K185="open",ISNUMBER(L185)),L185,"")</f>
        <v/>
      </c>
    </row>
    <row r="186" ht="33.75" customHeight="1" s="38">
      <c r="A186" s="80" t="n"/>
      <c r="B186" s="80" t="n"/>
      <c r="C186" s="82" t="n"/>
      <c r="D186" s="81" t="n"/>
      <c r="E186" s="80" t="n"/>
      <c r="F186" s="81" t="n"/>
      <c r="G186" s="81" t="n"/>
      <c r="H186" s="81" t="n"/>
      <c r="I186" s="81" t="n"/>
      <c r="J186" s="82" t="n"/>
      <c r="K186" s="80" t="n"/>
      <c r="L186" s="79">
        <f>IF(NOT(ISNUMBER(C186)),"",IF(ISNUMBER(N186),N186-C186,TODAY()-C186))</f>
        <v/>
      </c>
      <c r="M186" s="81" t="n"/>
      <c r="N186" s="82" t="n"/>
      <c r="O186" s="84">
        <f>IF(OR(M186="",P186=""),"",IF(EXACT(TRIM(M186),TRIM(P186)),"SELF-VERIFIED",""))</f>
        <v/>
      </c>
      <c r="P186" s="80" t="n"/>
      <c r="Q186" s="79">
        <f>IF(AND(K186="open",ISNUMBER(L186)),L186,"")</f>
        <v/>
      </c>
    </row>
    <row r="187" ht="33.75" customHeight="1" s="38">
      <c r="A187" s="75" t="n"/>
      <c r="B187" s="75" t="n"/>
      <c r="C187" s="77" t="n"/>
      <c r="D187" s="76" t="n"/>
      <c r="E187" s="75" t="n"/>
      <c r="F187" s="76" t="n"/>
      <c r="G187" s="76" t="n"/>
      <c r="H187" s="76" t="n"/>
      <c r="I187" s="76" t="n"/>
      <c r="J187" s="77" t="n"/>
      <c r="K187" s="75" t="n"/>
      <c r="L187" s="79">
        <f>IF(NOT(ISNUMBER(C187)),"",IF(ISNUMBER(N187),N187-C187,TODAY()-C187))</f>
        <v/>
      </c>
      <c r="M187" s="76" t="n"/>
      <c r="N187" s="77" t="n"/>
      <c r="O187" s="84">
        <f>IF(OR(M187="",P187=""),"",IF(EXACT(TRIM(M187),TRIM(P187)),"SELF-VERIFIED",""))</f>
        <v/>
      </c>
      <c r="P187" s="75" t="n"/>
      <c r="Q187" s="79">
        <f>IF(AND(K187="open",ISNUMBER(L187)),L187,"")</f>
        <v/>
      </c>
    </row>
    <row r="188" ht="33.75" customHeight="1" s="38">
      <c r="A188" s="80" t="n"/>
      <c r="B188" s="80" t="n"/>
      <c r="C188" s="82" t="n"/>
      <c r="D188" s="81" t="n"/>
      <c r="E188" s="80" t="n"/>
      <c r="F188" s="81" t="n"/>
      <c r="G188" s="81" t="n"/>
      <c r="H188" s="81" t="n"/>
      <c r="I188" s="81" t="n"/>
      <c r="J188" s="82" t="n"/>
      <c r="K188" s="80" t="n"/>
      <c r="L188" s="79">
        <f>IF(NOT(ISNUMBER(C188)),"",IF(ISNUMBER(N188),N188-C188,TODAY()-C188))</f>
        <v/>
      </c>
      <c r="M188" s="81" t="n"/>
      <c r="N188" s="82" t="n"/>
      <c r="O188" s="84">
        <f>IF(OR(M188="",P188=""),"",IF(EXACT(TRIM(M188),TRIM(P188)),"SELF-VERIFIED",""))</f>
        <v/>
      </c>
      <c r="P188" s="80" t="n"/>
      <c r="Q188" s="79">
        <f>IF(AND(K188="open",ISNUMBER(L188)),L188,"")</f>
        <v/>
      </c>
    </row>
    <row r="189" ht="33.75" customHeight="1" s="38">
      <c r="A189" s="75" t="n"/>
      <c r="B189" s="75" t="n"/>
      <c r="C189" s="77" t="n"/>
      <c r="D189" s="76" t="n"/>
      <c r="E189" s="75" t="n"/>
      <c r="F189" s="76" t="n"/>
      <c r="G189" s="76" t="n"/>
      <c r="H189" s="76" t="n"/>
      <c r="I189" s="76" t="n"/>
      <c r="J189" s="77" t="n"/>
      <c r="K189" s="75" t="n"/>
      <c r="L189" s="79">
        <f>IF(NOT(ISNUMBER(C189)),"",IF(ISNUMBER(N189),N189-C189,TODAY()-C189))</f>
        <v/>
      </c>
      <c r="M189" s="76" t="n"/>
      <c r="N189" s="77" t="n"/>
      <c r="O189" s="84">
        <f>IF(OR(M189="",P189=""),"",IF(EXACT(TRIM(M189),TRIM(P189)),"SELF-VERIFIED",""))</f>
        <v/>
      </c>
      <c r="P189" s="75" t="n"/>
      <c r="Q189" s="79">
        <f>IF(AND(K189="open",ISNUMBER(L189)),L189,"")</f>
        <v/>
      </c>
    </row>
    <row r="190" ht="33.75" customHeight="1" s="38">
      <c r="A190" s="80" t="n"/>
      <c r="B190" s="80" t="n"/>
      <c r="C190" s="82" t="n"/>
      <c r="D190" s="81" t="n"/>
      <c r="E190" s="80" t="n"/>
      <c r="F190" s="81" t="n"/>
      <c r="G190" s="81" t="n"/>
      <c r="H190" s="81" t="n"/>
      <c r="I190" s="81" t="n"/>
      <c r="J190" s="82" t="n"/>
      <c r="K190" s="80" t="n"/>
      <c r="L190" s="79">
        <f>IF(NOT(ISNUMBER(C190)),"",IF(ISNUMBER(N190),N190-C190,TODAY()-C190))</f>
        <v/>
      </c>
      <c r="M190" s="81" t="n"/>
      <c r="N190" s="82" t="n"/>
      <c r="O190" s="84">
        <f>IF(OR(M190="",P190=""),"",IF(EXACT(TRIM(M190),TRIM(P190)),"SELF-VERIFIED",""))</f>
        <v/>
      </c>
      <c r="P190" s="80" t="n"/>
      <c r="Q190" s="79">
        <f>IF(AND(K190="open",ISNUMBER(L190)),L190,"")</f>
        <v/>
      </c>
    </row>
    <row r="191" ht="33.75" customHeight="1" s="38">
      <c r="A191" s="75" t="n"/>
      <c r="B191" s="75" t="n"/>
      <c r="C191" s="77" t="n"/>
      <c r="D191" s="76" t="n"/>
      <c r="E191" s="75" t="n"/>
      <c r="F191" s="76" t="n"/>
      <c r="G191" s="76" t="n"/>
      <c r="H191" s="76" t="n"/>
      <c r="I191" s="76" t="n"/>
      <c r="J191" s="77" t="n"/>
      <c r="K191" s="75" t="n"/>
      <c r="L191" s="79">
        <f>IF(NOT(ISNUMBER(C191)),"",IF(ISNUMBER(N191),N191-C191,TODAY()-C191))</f>
        <v/>
      </c>
      <c r="M191" s="76" t="n"/>
      <c r="N191" s="77" t="n"/>
      <c r="O191" s="84">
        <f>IF(OR(M191="",P191=""),"",IF(EXACT(TRIM(M191),TRIM(P191)),"SELF-VERIFIED",""))</f>
        <v/>
      </c>
      <c r="P191" s="75" t="n"/>
      <c r="Q191" s="79">
        <f>IF(AND(K191="open",ISNUMBER(L191)),L191,"")</f>
        <v/>
      </c>
    </row>
    <row r="192" ht="33.75" customHeight="1" s="38">
      <c r="A192" s="80" t="n"/>
      <c r="B192" s="80" t="n"/>
      <c r="C192" s="82" t="n"/>
      <c r="D192" s="81" t="n"/>
      <c r="E192" s="80" t="n"/>
      <c r="F192" s="81" t="n"/>
      <c r="G192" s="81" t="n"/>
      <c r="H192" s="81" t="n"/>
      <c r="I192" s="81" t="n"/>
      <c r="J192" s="82" t="n"/>
      <c r="K192" s="80" t="n"/>
      <c r="L192" s="79">
        <f>IF(NOT(ISNUMBER(C192)),"",IF(ISNUMBER(N192),N192-C192,TODAY()-C192))</f>
        <v/>
      </c>
      <c r="M192" s="81" t="n"/>
      <c r="N192" s="82" t="n"/>
      <c r="O192" s="84">
        <f>IF(OR(M192="",P192=""),"",IF(EXACT(TRIM(M192),TRIM(P192)),"SELF-VERIFIED",""))</f>
        <v/>
      </c>
      <c r="P192" s="80" t="n"/>
      <c r="Q192" s="79">
        <f>IF(AND(K192="open",ISNUMBER(L192)),L192,"")</f>
        <v/>
      </c>
    </row>
    <row r="193" ht="33.75" customHeight="1" s="38">
      <c r="A193" s="75" t="n"/>
      <c r="B193" s="75" t="n"/>
      <c r="C193" s="77" t="n"/>
      <c r="D193" s="76" t="n"/>
      <c r="E193" s="75" t="n"/>
      <c r="F193" s="76" t="n"/>
      <c r="G193" s="76" t="n"/>
      <c r="H193" s="76" t="n"/>
      <c r="I193" s="76" t="n"/>
      <c r="J193" s="77" t="n"/>
      <c r="K193" s="75" t="n"/>
      <c r="L193" s="79">
        <f>IF(NOT(ISNUMBER(C193)),"",IF(ISNUMBER(N193),N193-C193,TODAY()-C193))</f>
        <v/>
      </c>
      <c r="M193" s="76" t="n"/>
      <c r="N193" s="77" t="n"/>
      <c r="O193" s="84">
        <f>IF(OR(M193="",P193=""),"",IF(EXACT(TRIM(M193),TRIM(P193)),"SELF-VERIFIED",""))</f>
        <v/>
      </c>
      <c r="P193" s="75" t="n"/>
      <c r="Q193" s="79">
        <f>IF(AND(K193="open",ISNUMBER(L193)),L193,"")</f>
        <v/>
      </c>
    </row>
    <row r="194" ht="33.75" customHeight="1" s="38">
      <c r="A194" s="80" t="n"/>
      <c r="B194" s="80" t="n"/>
      <c r="C194" s="82" t="n"/>
      <c r="D194" s="81" t="n"/>
      <c r="E194" s="80" t="n"/>
      <c r="F194" s="81" t="n"/>
      <c r="G194" s="81" t="n"/>
      <c r="H194" s="81" t="n"/>
      <c r="I194" s="81" t="n"/>
      <c r="J194" s="82" t="n"/>
      <c r="K194" s="80" t="n"/>
      <c r="L194" s="79">
        <f>IF(NOT(ISNUMBER(C194)),"",IF(ISNUMBER(N194),N194-C194,TODAY()-C194))</f>
        <v/>
      </c>
      <c r="M194" s="81" t="n"/>
      <c r="N194" s="82" t="n"/>
      <c r="O194" s="84">
        <f>IF(OR(M194="",P194=""),"",IF(EXACT(TRIM(M194),TRIM(P194)),"SELF-VERIFIED",""))</f>
        <v/>
      </c>
      <c r="P194" s="80" t="n"/>
      <c r="Q194" s="79">
        <f>IF(AND(K194="open",ISNUMBER(L194)),L194,"")</f>
        <v/>
      </c>
    </row>
    <row r="195" ht="33.75" customHeight="1" s="38">
      <c r="A195" s="75" t="n"/>
      <c r="B195" s="75" t="n"/>
      <c r="C195" s="77" t="n"/>
      <c r="D195" s="76" t="n"/>
      <c r="E195" s="75" t="n"/>
      <c r="F195" s="76" t="n"/>
      <c r="G195" s="76" t="n"/>
      <c r="H195" s="76" t="n"/>
      <c r="I195" s="76" t="n"/>
      <c r="J195" s="77" t="n"/>
      <c r="K195" s="75" t="n"/>
      <c r="L195" s="79">
        <f>IF(NOT(ISNUMBER(C195)),"",IF(ISNUMBER(N195),N195-C195,TODAY()-C195))</f>
        <v/>
      </c>
      <c r="M195" s="76" t="n"/>
      <c r="N195" s="77" t="n"/>
      <c r="O195" s="84">
        <f>IF(OR(M195="",P195=""),"",IF(EXACT(TRIM(M195),TRIM(P195)),"SELF-VERIFIED",""))</f>
        <v/>
      </c>
      <c r="P195" s="75" t="n"/>
      <c r="Q195" s="79">
        <f>IF(AND(K195="open",ISNUMBER(L195)),L195,"")</f>
        <v/>
      </c>
    </row>
    <row r="196" ht="33.75" customHeight="1" s="38">
      <c r="A196" s="80" t="n"/>
      <c r="B196" s="80" t="n"/>
      <c r="C196" s="82" t="n"/>
      <c r="D196" s="81" t="n"/>
      <c r="E196" s="80" t="n"/>
      <c r="F196" s="81" t="n"/>
      <c r="G196" s="81" t="n"/>
      <c r="H196" s="81" t="n"/>
      <c r="I196" s="81" t="n"/>
      <c r="J196" s="82" t="n"/>
      <c r="K196" s="80" t="n"/>
      <c r="L196" s="79">
        <f>IF(NOT(ISNUMBER(C196)),"",IF(ISNUMBER(N196),N196-C196,TODAY()-C196))</f>
        <v/>
      </c>
      <c r="M196" s="81" t="n"/>
      <c r="N196" s="82" t="n"/>
      <c r="O196" s="84">
        <f>IF(OR(M196="",P196=""),"",IF(EXACT(TRIM(M196),TRIM(P196)),"SELF-VERIFIED",""))</f>
        <v/>
      </c>
      <c r="P196" s="80" t="n"/>
      <c r="Q196" s="79">
        <f>IF(AND(K196="open",ISNUMBER(L196)),L196,"")</f>
        <v/>
      </c>
    </row>
    <row r="197" ht="33.75" customHeight="1" s="38">
      <c r="A197" s="75" t="n"/>
      <c r="B197" s="75" t="n"/>
      <c r="C197" s="77" t="n"/>
      <c r="D197" s="76" t="n"/>
      <c r="E197" s="75" t="n"/>
      <c r="F197" s="76" t="n"/>
      <c r="G197" s="76" t="n"/>
      <c r="H197" s="76" t="n"/>
      <c r="I197" s="76" t="n"/>
      <c r="J197" s="77" t="n"/>
      <c r="K197" s="75" t="n"/>
      <c r="L197" s="79">
        <f>IF(NOT(ISNUMBER(C197)),"",IF(ISNUMBER(N197),N197-C197,TODAY()-C197))</f>
        <v/>
      </c>
      <c r="M197" s="76" t="n"/>
      <c r="N197" s="77" t="n"/>
      <c r="O197" s="84">
        <f>IF(OR(M197="",P197=""),"",IF(EXACT(TRIM(M197),TRIM(P197)),"SELF-VERIFIED",""))</f>
        <v/>
      </c>
      <c r="P197" s="75" t="n"/>
      <c r="Q197" s="79">
        <f>IF(AND(K197="open",ISNUMBER(L197)),L197,"")</f>
        <v/>
      </c>
    </row>
    <row r="198" ht="33.75" customHeight="1" s="38">
      <c r="A198" s="80" t="n"/>
      <c r="B198" s="80" t="n"/>
      <c r="C198" s="82" t="n"/>
      <c r="D198" s="81" t="n"/>
      <c r="E198" s="80" t="n"/>
      <c r="F198" s="81" t="n"/>
      <c r="G198" s="81" t="n"/>
      <c r="H198" s="81" t="n"/>
      <c r="I198" s="81" t="n"/>
      <c r="J198" s="82" t="n"/>
      <c r="K198" s="80" t="n"/>
      <c r="L198" s="79">
        <f>IF(NOT(ISNUMBER(C198)),"",IF(ISNUMBER(N198),N198-C198,TODAY()-C198))</f>
        <v/>
      </c>
      <c r="M198" s="81" t="n"/>
      <c r="N198" s="82" t="n"/>
      <c r="O198" s="84">
        <f>IF(OR(M198="",P198=""),"",IF(EXACT(TRIM(M198),TRIM(P198)),"SELF-VERIFIED",""))</f>
        <v/>
      </c>
      <c r="P198" s="80" t="n"/>
      <c r="Q198" s="79">
        <f>IF(AND(K198="open",ISNUMBER(L198)),L198,"")</f>
        <v/>
      </c>
    </row>
    <row r="199" ht="33.75" customHeight="1" s="38">
      <c r="A199" s="75" t="n"/>
      <c r="B199" s="75" t="n"/>
      <c r="C199" s="77" t="n"/>
      <c r="D199" s="76" t="n"/>
      <c r="E199" s="75" t="n"/>
      <c r="F199" s="76" t="n"/>
      <c r="G199" s="76" t="n"/>
      <c r="H199" s="76" t="n"/>
      <c r="I199" s="76" t="n"/>
      <c r="J199" s="77" t="n"/>
      <c r="K199" s="75" t="n"/>
      <c r="L199" s="79">
        <f>IF(NOT(ISNUMBER(C199)),"",IF(ISNUMBER(N199),N199-C199,TODAY()-C199))</f>
        <v/>
      </c>
      <c r="M199" s="76" t="n"/>
      <c r="N199" s="77" t="n"/>
      <c r="O199" s="84">
        <f>IF(OR(M199="",P199=""),"",IF(EXACT(TRIM(M199),TRIM(P199)),"SELF-VERIFIED",""))</f>
        <v/>
      </c>
      <c r="P199" s="75" t="n"/>
      <c r="Q199" s="79">
        <f>IF(AND(K199="open",ISNUMBER(L199)),L199,"")</f>
        <v/>
      </c>
    </row>
    <row r="200" ht="33.75" customHeight="1" s="38">
      <c r="A200" s="80" t="n"/>
      <c r="B200" s="80" t="n"/>
      <c r="C200" s="82" t="n"/>
      <c r="D200" s="81" t="n"/>
      <c r="E200" s="80" t="n"/>
      <c r="F200" s="81" t="n"/>
      <c r="G200" s="81" t="n"/>
      <c r="H200" s="81" t="n"/>
      <c r="I200" s="81" t="n"/>
      <c r="J200" s="82" t="n"/>
      <c r="K200" s="80" t="n"/>
      <c r="L200" s="79">
        <f>IF(NOT(ISNUMBER(C200)),"",IF(ISNUMBER(N200),N200-C200,TODAY()-C200))</f>
        <v/>
      </c>
      <c r="M200" s="81" t="n"/>
      <c r="N200" s="82" t="n"/>
      <c r="O200" s="84">
        <f>IF(OR(M200="",P200=""),"",IF(EXACT(TRIM(M200),TRIM(P200)),"SELF-VERIFIED",""))</f>
        <v/>
      </c>
      <c r="P200" s="80" t="n"/>
      <c r="Q200" s="79">
        <f>IF(AND(K200="open",ISNUMBER(L200)),L200,"")</f>
        <v/>
      </c>
    </row>
    <row r="201" ht="33.75" customHeight="1" s="38">
      <c r="A201" s="75" t="n"/>
      <c r="B201" s="75" t="n"/>
      <c r="C201" s="77" t="n"/>
      <c r="D201" s="76" t="n"/>
      <c r="E201" s="75" t="n"/>
      <c r="F201" s="76" t="n"/>
      <c r="G201" s="76" t="n"/>
      <c r="H201" s="76" t="n"/>
      <c r="I201" s="76" t="n"/>
      <c r="J201" s="77" t="n"/>
      <c r="K201" s="75" t="n"/>
      <c r="L201" s="79">
        <f>IF(NOT(ISNUMBER(C201)),"",IF(ISNUMBER(N201),N201-C201,TODAY()-C201))</f>
        <v/>
      </c>
      <c r="M201" s="76" t="n"/>
      <c r="N201" s="77" t="n"/>
      <c r="O201" s="84">
        <f>IF(OR(M201="",P201=""),"",IF(EXACT(TRIM(M201),TRIM(P201)),"SELF-VERIFIED",""))</f>
        <v/>
      </c>
      <c r="P201" s="75" t="n"/>
      <c r="Q201" s="79">
        <f>IF(AND(K201="open",ISNUMBER(L201)),L201,"")</f>
        <v/>
      </c>
    </row>
    <row r="202" ht="33.75" customHeight="1" s="38">
      <c r="A202" s="80" t="n"/>
      <c r="B202" s="80" t="n"/>
      <c r="C202" s="82" t="n"/>
      <c r="D202" s="81" t="n"/>
      <c r="E202" s="80" t="n"/>
      <c r="F202" s="81" t="n"/>
      <c r="G202" s="81" t="n"/>
      <c r="H202" s="81" t="n"/>
      <c r="I202" s="81" t="n"/>
      <c r="J202" s="82" t="n"/>
      <c r="K202" s="80" t="n"/>
      <c r="L202" s="79">
        <f>IF(NOT(ISNUMBER(C202)),"",IF(ISNUMBER(N202),N202-C202,TODAY()-C202))</f>
        <v/>
      </c>
      <c r="M202" s="81" t="n"/>
      <c r="N202" s="82" t="n"/>
      <c r="O202" s="84">
        <f>IF(OR(M202="",P202=""),"",IF(EXACT(TRIM(M202),TRIM(P202)),"SELF-VERIFIED",""))</f>
        <v/>
      </c>
      <c r="P202" s="80" t="n"/>
      <c r="Q202" s="79">
        <f>IF(AND(K202="open",ISNUMBER(L202)),L202,"")</f>
        <v/>
      </c>
    </row>
    <row r="203" ht="33.75" customHeight="1" s="38">
      <c r="A203" s="75" t="n"/>
      <c r="B203" s="75" t="n"/>
      <c r="C203" s="77" t="n"/>
      <c r="D203" s="76" t="n"/>
      <c r="E203" s="75" t="n"/>
      <c r="F203" s="76" t="n"/>
      <c r="G203" s="76" t="n"/>
      <c r="H203" s="76" t="n"/>
      <c r="I203" s="76" t="n"/>
      <c r="J203" s="77" t="n"/>
      <c r="K203" s="75" t="n"/>
      <c r="L203" s="79">
        <f>IF(NOT(ISNUMBER(C203)),"",IF(ISNUMBER(N203),N203-C203,TODAY()-C203))</f>
        <v/>
      </c>
      <c r="M203" s="76" t="n"/>
      <c r="N203" s="77" t="n"/>
      <c r="O203" s="84">
        <f>IF(OR(M203="",P203=""),"",IF(EXACT(TRIM(M203),TRIM(P203)),"SELF-VERIFIED",""))</f>
        <v/>
      </c>
      <c r="P203" s="75" t="n"/>
      <c r="Q203" s="79">
        <f>IF(AND(K203="open",ISNUMBER(L203)),L203,"")</f>
        <v/>
      </c>
    </row>
    <row r="204" ht="33.75" customHeight="1" s="38">
      <c r="A204" s="80" t="n"/>
      <c r="B204" s="80" t="n"/>
      <c r="C204" s="82" t="n"/>
      <c r="D204" s="81" t="n"/>
      <c r="E204" s="80" t="n"/>
      <c r="F204" s="81" t="n"/>
      <c r="G204" s="81" t="n"/>
      <c r="H204" s="81" t="n"/>
      <c r="I204" s="81" t="n"/>
      <c r="J204" s="82" t="n"/>
      <c r="K204" s="80" t="n"/>
      <c r="L204" s="79">
        <f>IF(NOT(ISNUMBER(C204)),"",IF(ISNUMBER(N204),N204-C204,TODAY()-C204))</f>
        <v/>
      </c>
      <c r="M204" s="81" t="n"/>
      <c r="N204" s="82" t="n"/>
      <c r="O204" s="84">
        <f>IF(OR(M204="",P204=""),"",IF(EXACT(TRIM(M204),TRIM(P204)),"SELF-VERIFIED",""))</f>
        <v/>
      </c>
      <c r="P204" s="80" t="n"/>
      <c r="Q204" s="79">
        <f>IF(AND(K204="open",ISNUMBER(L204)),L204,"")</f>
        <v/>
      </c>
    </row>
    <row r="205" ht="33.75" customHeight="1" s="38">
      <c r="A205" s="75" t="n"/>
      <c r="B205" s="75" t="n"/>
      <c r="C205" s="77" t="n"/>
      <c r="D205" s="76" t="n"/>
      <c r="E205" s="75" t="n"/>
      <c r="F205" s="76" t="n"/>
      <c r="G205" s="76" t="n"/>
      <c r="H205" s="76" t="n"/>
      <c r="I205" s="76" t="n"/>
      <c r="J205" s="77" t="n"/>
      <c r="K205" s="75" t="n"/>
      <c r="L205" s="79">
        <f>IF(NOT(ISNUMBER(C205)),"",IF(ISNUMBER(N205),N205-C205,TODAY()-C205))</f>
        <v/>
      </c>
      <c r="M205" s="76" t="n"/>
      <c r="N205" s="77" t="n"/>
      <c r="O205" s="84">
        <f>IF(OR(M205="",P205=""),"",IF(EXACT(TRIM(M205),TRIM(P205)),"SELF-VERIFIED",""))</f>
        <v/>
      </c>
      <c r="P205" s="75" t="n"/>
      <c r="Q205" s="79">
        <f>IF(AND(K205="open",ISNUMBER(L205)),L205,"")</f>
        <v/>
      </c>
    </row>
    <row r="206" ht="33.75" customHeight="1" s="38">
      <c r="A206" s="80" t="n"/>
      <c r="B206" s="80" t="n"/>
      <c r="C206" s="82" t="n"/>
      <c r="D206" s="81" t="n"/>
      <c r="E206" s="80" t="n"/>
      <c r="F206" s="81" t="n"/>
      <c r="G206" s="81" t="n"/>
      <c r="H206" s="81" t="n"/>
      <c r="I206" s="81" t="n"/>
      <c r="J206" s="82" t="n"/>
      <c r="K206" s="80" t="n"/>
      <c r="L206" s="79">
        <f>IF(NOT(ISNUMBER(C206)),"",IF(ISNUMBER(N206),N206-C206,TODAY()-C206))</f>
        <v/>
      </c>
      <c r="M206" s="81" t="n"/>
      <c r="N206" s="82" t="n"/>
      <c r="O206" s="84">
        <f>IF(OR(M206="",P206=""),"",IF(EXACT(TRIM(M206),TRIM(P206)),"SELF-VERIFIED",""))</f>
        <v/>
      </c>
      <c r="P206" s="80" t="n"/>
      <c r="Q206" s="79">
        <f>IF(AND(K206="open",ISNUMBER(L206)),L206,"")</f>
        <v/>
      </c>
    </row>
    <row r="207" ht="33.75" customHeight="1" s="38">
      <c r="A207" s="75" t="n"/>
      <c r="B207" s="75" t="n"/>
      <c r="C207" s="77" t="n"/>
      <c r="D207" s="76" t="n"/>
      <c r="E207" s="75" t="n"/>
      <c r="F207" s="76" t="n"/>
      <c r="G207" s="76" t="n"/>
      <c r="H207" s="76" t="n"/>
      <c r="I207" s="76" t="n"/>
      <c r="J207" s="77" t="n"/>
      <c r="K207" s="75" t="n"/>
      <c r="L207" s="79">
        <f>IF(NOT(ISNUMBER(C207)),"",IF(ISNUMBER(N207),N207-C207,TODAY()-C207))</f>
        <v/>
      </c>
      <c r="M207" s="76" t="n"/>
      <c r="N207" s="77" t="n"/>
      <c r="O207" s="84">
        <f>IF(OR(M207="",P207=""),"",IF(EXACT(TRIM(M207),TRIM(P207)),"SELF-VERIFIED",""))</f>
        <v/>
      </c>
      <c r="P207" s="75" t="n"/>
      <c r="Q207" s="79">
        <f>IF(AND(K207="open",ISNUMBER(L207)),L207,"")</f>
        <v/>
      </c>
    </row>
    <row r="208" ht="33.75" customHeight="1" s="38">
      <c r="A208" s="80" t="n"/>
      <c r="B208" s="80" t="n"/>
      <c r="C208" s="82" t="n"/>
      <c r="D208" s="81" t="n"/>
      <c r="E208" s="80" t="n"/>
      <c r="F208" s="81" t="n"/>
      <c r="G208" s="81" t="n"/>
      <c r="H208" s="81" t="n"/>
      <c r="I208" s="81" t="n"/>
      <c r="J208" s="82" t="n"/>
      <c r="K208" s="80" t="n"/>
      <c r="L208" s="79">
        <f>IF(NOT(ISNUMBER(C208)),"",IF(ISNUMBER(N208),N208-C208,TODAY()-C208))</f>
        <v/>
      </c>
      <c r="M208" s="81" t="n"/>
      <c r="N208" s="82" t="n"/>
      <c r="O208" s="84">
        <f>IF(OR(M208="",P208=""),"",IF(EXACT(TRIM(M208),TRIM(P208)),"SELF-VERIFIED",""))</f>
        <v/>
      </c>
      <c r="P208" s="80" t="n"/>
      <c r="Q208" s="79">
        <f>IF(AND(K208="open",ISNUMBER(L208)),L208,"")</f>
        <v/>
      </c>
    </row>
    <row r="209" ht="33.75" customHeight="1" s="38">
      <c r="A209" s="75" t="n"/>
      <c r="B209" s="75" t="n"/>
      <c r="C209" s="77" t="n"/>
      <c r="D209" s="76" t="n"/>
      <c r="E209" s="75" t="n"/>
      <c r="F209" s="76" t="n"/>
      <c r="G209" s="76" t="n"/>
      <c r="H209" s="76" t="n"/>
      <c r="I209" s="76" t="n"/>
      <c r="J209" s="77" t="n"/>
      <c r="K209" s="75" t="n"/>
      <c r="L209" s="79">
        <f>IF(NOT(ISNUMBER(C209)),"",IF(ISNUMBER(N209),N209-C209,TODAY()-C209))</f>
        <v/>
      </c>
      <c r="M209" s="76" t="n"/>
      <c r="N209" s="77" t="n"/>
      <c r="O209" s="84">
        <f>IF(OR(M209="",P209=""),"",IF(EXACT(TRIM(M209),TRIM(P209)),"SELF-VERIFIED",""))</f>
        <v/>
      </c>
      <c r="P209" s="75" t="n"/>
      <c r="Q209" s="79">
        <f>IF(AND(K209="open",ISNUMBER(L209)),L209,"")</f>
        <v/>
      </c>
    </row>
    <row r="210" ht="33.75" customHeight="1" s="38">
      <c r="A210" s="80" t="n"/>
      <c r="B210" s="80" t="n"/>
      <c r="C210" s="82" t="n"/>
      <c r="D210" s="81" t="n"/>
      <c r="E210" s="80" t="n"/>
      <c r="F210" s="81" t="n"/>
      <c r="G210" s="81" t="n"/>
      <c r="H210" s="81" t="n"/>
      <c r="I210" s="81" t="n"/>
      <c r="J210" s="82" t="n"/>
      <c r="K210" s="80" t="n"/>
      <c r="L210" s="79">
        <f>IF(NOT(ISNUMBER(C210)),"",IF(ISNUMBER(N210),N210-C210,TODAY()-C210))</f>
        <v/>
      </c>
      <c r="M210" s="81" t="n"/>
      <c r="N210" s="82" t="n"/>
      <c r="O210" s="84">
        <f>IF(OR(M210="",P210=""),"",IF(EXACT(TRIM(M210),TRIM(P210)),"SELF-VERIFIED",""))</f>
        <v/>
      </c>
      <c r="P210" s="80" t="n"/>
      <c r="Q210" s="79">
        <f>IF(AND(K210="open",ISNUMBER(L210)),L210,"")</f>
        <v/>
      </c>
    </row>
    <row r="211" ht="33.75" customHeight="1" s="38">
      <c r="A211" s="75" t="n"/>
      <c r="B211" s="75" t="n"/>
      <c r="C211" s="77" t="n"/>
      <c r="D211" s="76" t="n"/>
      <c r="E211" s="75" t="n"/>
      <c r="F211" s="76" t="n"/>
      <c r="G211" s="76" t="n"/>
      <c r="H211" s="76" t="n"/>
      <c r="I211" s="76" t="n"/>
      <c r="J211" s="77" t="n"/>
      <c r="K211" s="75" t="n"/>
      <c r="L211" s="79">
        <f>IF(NOT(ISNUMBER(C211)),"",IF(ISNUMBER(N211),N211-C211,TODAY()-C211))</f>
        <v/>
      </c>
      <c r="M211" s="76" t="n"/>
      <c r="N211" s="77" t="n"/>
      <c r="O211" s="84">
        <f>IF(OR(M211="",P211=""),"",IF(EXACT(TRIM(M211),TRIM(P211)),"SELF-VERIFIED",""))</f>
        <v/>
      </c>
      <c r="P211" s="75" t="n"/>
      <c r="Q211" s="79">
        <f>IF(AND(K211="open",ISNUMBER(L211)),L211,"")</f>
        <v/>
      </c>
    </row>
    <row r="212" ht="33.75" customHeight="1" s="38">
      <c r="A212" s="80" t="n"/>
      <c r="B212" s="80" t="n"/>
      <c r="C212" s="82" t="n"/>
      <c r="D212" s="81" t="n"/>
      <c r="E212" s="80" t="n"/>
      <c r="F212" s="81" t="n"/>
      <c r="G212" s="81" t="n"/>
      <c r="H212" s="81" t="n"/>
      <c r="I212" s="81" t="n"/>
      <c r="J212" s="82" t="n"/>
      <c r="K212" s="80" t="n"/>
      <c r="L212" s="79">
        <f>IF(NOT(ISNUMBER(C212)),"",IF(ISNUMBER(N212),N212-C212,TODAY()-C212))</f>
        <v/>
      </c>
      <c r="M212" s="81" t="n"/>
      <c r="N212" s="82" t="n"/>
      <c r="O212" s="84">
        <f>IF(OR(M212="",P212=""),"",IF(EXACT(TRIM(M212),TRIM(P212)),"SELF-VERIFIED",""))</f>
        <v/>
      </c>
      <c r="P212" s="80" t="n"/>
      <c r="Q212" s="79">
        <f>IF(AND(K212="open",ISNUMBER(L212)),L212,"")</f>
        <v/>
      </c>
    </row>
    <row r="213" ht="33.75" customHeight="1" s="38">
      <c r="A213" s="75" t="n"/>
      <c r="B213" s="75" t="n"/>
      <c r="C213" s="77" t="n"/>
      <c r="D213" s="76" t="n"/>
      <c r="E213" s="75" t="n"/>
      <c r="F213" s="76" t="n"/>
      <c r="G213" s="76" t="n"/>
      <c r="H213" s="76" t="n"/>
      <c r="I213" s="76" t="n"/>
      <c r="J213" s="77" t="n"/>
      <c r="K213" s="75" t="n"/>
      <c r="L213" s="79">
        <f>IF(NOT(ISNUMBER(C213)),"",IF(ISNUMBER(N213),N213-C213,TODAY()-C213))</f>
        <v/>
      </c>
      <c r="M213" s="76" t="n"/>
      <c r="N213" s="77" t="n"/>
      <c r="O213" s="84">
        <f>IF(OR(M213="",P213=""),"",IF(EXACT(TRIM(M213),TRIM(P213)),"SELF-VERIFIED",""))</f>
        <v/>
      </c>
      <c r="P213" s="75" t="n"/>
      <c r="Q213" s="79">
        <f>IF(AND(K213="open",ISNUMBER(L213)),L213,"")</f>
        <v/>
      </c>
    </row>
    <row r="214" ht="33.75" customHeight="1" s="38">
      <c r="A214" s="80" t="n"/>
      <c r="B214" s="80" t="n"/>
      <c r="C214" s="82" t="n"/>
      <c r="D214" s="81" t="n"/>
      <c r="E214" s="80" t="n"/>
      <c r="F214" s="81" t="n"/>
      <c r="G214" s="81" t="n"/>
      <c r="H214" s="81" t="n"/>
      <c r="I214" s="81" t="n"/>
      <c r="J214" s="82" t="n"/>
      <c r="K214" s="80" t="n"/>
      <c r="L214" s="79">
        <f>IF(NOT(ISNUMBER(C214)),"",IF(ISNUMBER(N214),N214-C214,TODAY()-C214))</f>
        <v/>
      </c>
      <c r="M214" s="81" t="n"/>
      <c r="N214" s="82" t="n"/>
      <c r="O214" s="84">
        <f>IF(OR(M214="",P214=""),"",IF(EXACT(TRIM(M214),TRIM(P214)),"SELF-VERIFIED",""))</f>
        <v/>
      </c>
      <c r="P214" s="80" t="n"/>
      <c r="Q214" s="79">
        <f>IF(AND(K214="open",ISNUMBER(L214)),L214,"")</f>
        <v/>
      </c>
    </row>
    <row r="215" ht="33.75" customHeight="1" s="38">
      <c r="A215" s="75" t="n"/>
      <c r="B215" s="75" t="n"/>
      <c r="C215" s="77" t="n"/>
      <c r="D215" s="76" t="n"/>
      <c r="E215" s="75" t="n"/>
      <c r="F215" s="76" t="n"/>
      <c r="G215" s="76" t="n"/>
      <c r="H215" s="76" t="n"/>
      <c r="I215" s="76" t="n"/>
      <c r="J215" s="77" t="n"/>
      <c r="K215" s="75" t="n"/>
      <c r="L215" s="79">
        <f>IF(NOT(ISNUMBER(C215)),"",IF(ISNUMBER(N215),N215-C215,TODAY()-C215))</f>
        <v/>
      </c>
      <c r="M215" s="76" t="n"/>
      <c r="N215" s="77" t="n"/>
      <c r="O215" s="84">
        <f>IF(OR(M215="",P215=""),"",IF(EXACT(TRIM(M215),TRIM(P215)),"SELF-VERIFIED",""))</f>
        <v/>
      </c>
      <c r="P215" s="75" t="n"/>
      <c r="Q215" s="79">
        <f>IF(AND(K215="open",ISNUMBER(L215)),L215,"")</f>
        <v/>
      </c>
    </row>
    <row r="216" ht="33.75" customHeight="1" s="38">
      <c r="A216" s="80" t="n"/>
      <c r="B216" s="80" t="n"/>
      <c r="C216" s="82" t="n"/>
      <c r="D216" s="81" t="n"/>
      <c r="E216" s="80" t="n"/>
      <c r="F216" s="81" t="n"/>
      <c r="G216" s="81" t="n"/>
      <c r="H216" s="81" t="n"/>
      <c r="I216" s="81" t="n"/>
      <c r="J216" s="82" t="n"/>
      <c r="K216" s="80" t="n"/>
      <c r="L216" s="79">
        <f>IF(NOT(ISNUMBER(C216)),"",IF(ISNUMBER(N216),N216-C216,TODAY()-C216))</f>
        <v/>
      </c>
      <c r="M216" s="81" t="n"/>
      <c r="N216" s="82" t="n"/>
      <c r="O216" s="84">
        <f>IF(OR(M216="",P216=""),"",IF(EXACT(TRIM(M216),TRIM(P216)),"SELF-VERIFIED",""))</f>
        <v/>
      </c>
      <c r="P216" s="80" t="n"/>
      <c r="Q216" s="79">
        <f>IF(AND(K216="open",ISNUMBER(L216)),L216,"")</f>
        <v/>
      </c>
    </row>
    <row r="217" ht="33.75" customHeight="1" s="38">
      <c r="A217" s="75" t="n"/>
      <c r="B217" s="75" t="n"/>
      <c r="C217" s="77" t="n"/>
      <c r="D217" s="76" t="n"/>
      <c r="E217" s="75" t="n"/>
      <c r="F217" s="76" t="n"/>
      <c r="G217" s="76" t="n"/>
      <c r="H217" s="76" t="n"/>
      <c r="I217" s="76" t="n"/>
      <c r="J217" s="77" t="n"/>
      <c r="K217" s="75" t="n"/>
      <c r="L217" s="79">
        <f>IF(NOT(ISNUMBER(C217)),"",IF(ISNUMBER(N217),N217-C217,TODAY()-C217))</f>
        <v/>
      </c>
      <c r="M217" s="76" t="n"/>
      <c r="N217" s="77" t="n"/>
      <c r="O217" s="84">
        <f>IF(OR(M217="",P217=""),"",IF(EXACT(TRIM(M217),TRIM(P217)),"SELF-VERIFIED",""))</f>
        <v/>
      </c>
      <c r="P217" s="75" t="n"/>
      <c r="Q217" s="79">
        <f>IF(AND(K217="open",ISNUMBER(L217)),L217,"")</f>
        <v/>
      </c>
    </row>
    <row r="218" ht="33.75" customHeight="1" s="38">
      <c r="A218" s="80" t="n"/>
      <c r="B218" s="80" t="n"/>
      <c r="C218" s="82" t="n"/>
      <c r="D218" s="81" t="n"/>
      <c r="E218" s="80" t="n"/>
      <c r="F218" s="81" t="n"/>
      <c r="G218" s="81" t="n"/>
      <c r="H218" s="81" t="n"/>
      <c r="I218" s="81" t="n"/>
      <c r="J218" s="82" t="n"/>
      <c r="K218" s="80" t="n"/>
      <c r="L218" s="79">
        <f>IF(NOT(ISNUMBER(C218)),"",IF(ISNUMBER(N218),N218-C218,TODAY()-C218))</f>
        <v/>
      </c>
      <c r="M218" s="81" t="n"/>
      <c r="N218" s="82" t="n"/>
      <c r="O218" s="84">
        <f>IF(OR(M218="",P218=""),"",IF(EXACT(TRIM(M218),TRIM(P218)),"SELF-VERIFIED",""))</f>
        <v/>
      </c>
      <c r="P218" s="80" t="n"/>
      <c r="Q218" s="79">
        <f>IF(AND(K218="open",ISNUMBER(L218)),L218,"")</f>
        <v/>
      </c>
    </row>
    <row r="219" ht="33.75" customHeight="1" s="38">
      <c r="A219" s="75" t="n"/>
      <c r="B219" s="75" t="n"/>
      <c r="C219" s="77" t="n"/>
      <c r="D219" s="76" t="n"/>
      <c r="E219" s="75" t="n"/>
      <c r="F219" s="76" t="n"/>
      <c r="G219" s="76" t="n"/>
      <c r="H219" s="76" t="n"/>
      <c r="I219" s="76" t="n"/>
      <c r="J219" s="77" t="n"/>
      <c r="K219" s="75" t="n"/>
      <c r="L219" s="79">
        <f>IF(NOT(ISNUMBER(C219)),"",IF(ISNUMBER(N219),N219-C219,TODAY()-C219))</f>
        <v/>
      </c>
      <c r="M219" s="76" t="n"/>
      <c r="N219" s="77" t="n"/>
      <c r="O219" s="84">
        <f>IF(OR(M219="",P219=""),"",IF(EXACT(TRIM(M219),TRIM(P219)),"SELF-VERIFIED",""))</f>
        <v/>
      </c>
      <c r="P219" s="75" t="n"/>
      <c r="Q219" s="79">
        <f>IF(AND(K219="open",ISNUMBER(L219)),L219,"")</f>
        <v/>
      </c>
    </row>
    <row r="220" ht="33.75" customHeight="1" s="38">
      <c r="A220" s="80" t="n"/>
      <c r="B220" s="80" t="n"/>
      <c r="C220" s="82" t="n"/>
      <c r="D220" s="81" t="n"/>
      <c r="E220" s="80" t="n"/>
      <c r="F220" s="81" t="n"/>
      <c r="G220" s="81" t="n"/>
      <c r="H220" s="81" t="n"/>
      <c r="I220" s="81" t="n"/>
      <c r="J220" s="82" t="n"/>
      <c r="K220" s="80" t="n"/>
      <c r="L220" s="79">
        <f>IF(NOT(ISNUMBER(C220)),"",IF(ISNUMBER(N220),N220-C220,TODAY()-C220))</f>
        <v/>
      </c>
      <c r="M220" s="81" t="n"/>
      <c r="N220" s="82" t="n"/>
      <c r="O220" s="84">
        <f>IF(OR(M220="",P220=""),"",IF(EXACT(TRIM(M220),TRIM(P220)),"SELF-VERIFIED",""))</f>
        <v/>
      </c>
      <c r="P220" s="80" t="n"/>
      <c r="Q220" s="79">
        <f>IF(AND(K220="open",ISNUMBER(L220)),L220,"")</f>
        <v/>
      </c>
    </row>
    <row r="221" ht="33.75" customHeight="1" s="38">
      <c r="A221" s="75" t="n"/>
      <c r="B221" s="75" t="n"/>
      <c r="C221" s="77" t="n"/>
      <c r="D221" s="76" t="n"/>
      <c r="E221" s="75" t="n"/>
      <c r="F221" s="76" t="n"/>
      <c r="G221" s="76" t="n"/>
      <c r="H221" s="76" t="n"/>
      <c r="I221" s="76" t="n"/>
      <c r="J221" s="77" t="n"/>
      <c r="K221" s="75" t="n"/>
      <c r="L221" s="79">
        <f>IF(NOT(ISNUMBER(C221)),"",IF(ISNUMBER(N221),N221-C221,TODAY()-C221))</f>
        <v/>
      </c>
      <c r="M221" s="76" t="n"/>
      <c r="N221" s="77" t="n"/>
      <c r="O221" s="84">
        <f>IF(OR(M221="",P221=""),"",IF(EXACT(TRIM(M221),TRIM(P221)),"SELF-VERIFIED",""))</f>
        <v/>
      </c>
      <c r="P221" s="75" t="n"/>
      <c r="Q221" s="79">
        <f>IF(AND(K221="open",ISNUMBER(L221)),L221,"")</f>
        <v/>
      </c>
    </row>
    <row r="222" ht="33.75" customHeight="1" s="38">
      <c r="A222" s="80" t="n"/>
      <c r="B222" s="80" t="n"/>
      <c r="C222" s="82" t="n"/>
      <c r="D222" s="81" t="n"/>
      <c r="E222" s="80" t="n"/>
      <c r="F222" s="81" t="n"/>
      <c r="G222" s="81" t="n"/>
      <c r="H222" s="81" t="n"/>
      <c r="I222" s="81" t="n"/>
      <c r="J222" s="82" t="n"/>
      <c r="K222" s="80" t="n"/>
      <c r="L222" s="79">
        <f>IF(NOT(ISNUMBER(C222)),"",IF(ISNUMBER(N222),N222-C222,TODAY()-C222))</f>
        <v/>
      </c>
      <c r="M222" s="81" t="n"/>
      <c r="N222" s="82" t="n"/>
      <c r="O222" s="84">
        <f>IF(OR(M222="",P222=""),"",IF(EXACT(TRIM(M222),TRIM(P222)),"SELF-VERIFIED",""))</f>
        <v/>
      </c>
      <c r="P222" s="80" t="n"/>
      <c r="Q222" s="79">
        <f>IF(AND(K222="open",ISNUMBER(L222)),L222,"")</f>
        <v/>
      </c>
    </row>
    <row r="223" ht="33.75" customHeight="1" s="38">
      <c r="A223" s="75" t="n"/>
      <c r="B223" s="75" t="n"/>
      <c r="C223" s="77" t="n"/>
      <c r="D223" s="76" t="n"/>
      <c r="E223" s="75" t="n"/>
      <c r="F223" s="76" t="n"/>
      <c r="G223" s="76" t="n"/>
      <c r="H223" s="76" t="n"/>
      <c r="I223" s="76" t="n"/>
      <c r="J223" s="77" t="n"/>
      <c r="K223" s="75" t="n"/>
      <c r="L223" s="79">
        <f>IF(NOT(ISNUMBER(C223)),"",IF(ISNUMBER(N223),N223-C223,TODAY()-C223))</f>
        <v/>
      </c>
      <c r="M223" s="76" t="n"/>
      <c r="N223" s="77" t="n"/>
      <c r="O223" s="84">
        <f>IF(OR(M223="",P223=""),"",IF(EXACT(TRIM(M223),TRIM(P223)),"SELF-VERIFIED",""))</f>
        <v/>
      </c>
      <c r="P223" s="75" t="n"/>
      <c r="Q223" s="79">
        <f>IF(AND(K223="open",ISNUMBER(L223)),L223,"")</f>
        <v/>
      </c>
    </row>
    <row r="224" ht="33.75" customHeight="1" s="38">
      <c r="A224" s="80" t="n"/>
      <c r="B224" s="80" t="n"/>
      <c r="C224" s="82" t="n"/>
      <c r="D224" s="81" t="n"/>
      <c r="E224" s="80" t="n"/>
      <c r="F224" s="81" t="n"/>
      <c r="G224" s="81" t="n"/>
      <c r="H224" s="81" t="n"/>
      <c r="I224" s="81" t="n"/>
      <c r="J224" s="82" t="n"/>
      <c r="K224" s="80" t="n"/>
      <c r="L224" s="79">
        <f>IF(NOT(ISNUMBER(C224)),"",IF(ISNUMBER(N224),N224-C224,TODAY()-C224))</f>
        <v/>
      </c>
      <c r="M224" s="81" t="n"/>
      <c r="N224" s="82" t="n"/>
      <c r="O224" s="84">
        <f>IF(OR(M224="",P224=""),"",IF(EXACT(TRIM(M224),TRIM(P224)),"SELF-VERIFIED",""))</f>
        <v/>
      </c>
      <c r="P224" s="80" t="n"/>
      <c r="Q224" s="79">
        <f>IF(AND(K224="open",ISNUMBER(L224)),L224,"")</f>
        <v/>
      </c>
    </row>
    <row r="225" ht="33.75" customHeight="1" s="38">
      <c r="A225" s="75" t="n"/>
      <c r="B225" s="75" t="n"/>
      <c r="C225" s="77" t="n"/>
      <c r="D225" s="76" t="n"/>
      <c r="E225" s="75" t="n"/>
      <c r="F225" s="76" t="n"/>
      <c r="G225" s="76" t="n"/>
      <c r="H225" s="76" t="n"/>
      <c r="I225" s="76" t="n"/>
      <c r="J225" s="77" t="n"/>
      <c r="K225" s="75" t="n"/>
      <c r="L225" s="79">
        <f>IF(NOT(ISNUMBER(C225)),"",IF(ISNUMBER(N225),N225-C225,TODAY()-C225))</f>
        <v/>
      </c>
      <c r="M225" s="76" t="n"/>
      <c r="N225" s="77" t="n"/>
      <c r="O225" s="84">
        <f>IF(OR(M225="",P225=""),"",IF(EXACT(TRIM(M225),TRIM(P225)),"SELF-VERIFIED",""))</f>
        <v/>
      </c>
      <c r="P225" s="75" t="n"/>
      <c r="Q225" s="79">
        <f>IF(AND(K225="open",ISNUMBER(L225)),L225,"")</f>
        <v/>
      </c>
    </row>
    <row r="226" ht="33.75" customHeight="1" s="38">
      <c r="A226" s="80" t="n"/>
      <c r="B226" s="80" t="n"/>
      <c r="C226" s="82" t="n"/>
      <c r="D226" s="81" t="n"/>
      <c r="E226" s="80" t="n"/>
      <c r="F226" s="81" t="n"/>
      <c r="G226" s="81" t="n"/>
      <c r="H226" s="81" t="n"/>
      <c r="I226" s="81" t="n"/>
      <c r="J226" s="82" t="n"/>
      <c r="K226" s="80" t="n"/>
      <c r="L226" s="79">
        <f>IF(NOT(ISNUMBER(C226)),"",IF(ISNUMBER(N226),N226-C226,TODAY()-C226))</f>
        <v/>
      </c>
      <c r="M226" s="81" t="n"/>
      <c r="N226" s="82" t="n"/>
      <c r="O226" s="84">
        <f>IF(OR(M226="",P226=""),"",IF(EXACT(TRIM(M226),TRIM(P226)),"SELF-VERIFIED",""))</f>
        <v/>
      </c>
      <c r="P226" s="80" t="n"/>
      <c r="Q226" s="79">
        <f>IF(AND(K226="open",ISNUMBER(L226)),L226,"")</f>
        <v/>
      </c>
    </row>
    <row r="227" ht="33.75" customHeight="1" s="38">
      <c r="A227" s="75" t="n"/>
      <c r="B227" s="75" t="n"/>
      <c r="C227" s="77" t="n"/>
      <c r="D227" s="76" t="n"/>
      <c r="E227" s="75" t="n"/>
      <c r="F227" s="76" t="n"/>
      <c r="G227" s="76" t="n"/>
      <c r="H227" s="76" t="n"/>
      <c r="I227" s="76" t="n"/>
      <c r="J227" s="77" t="n"/>
      <c r="K227" s="75" t="n"/>
      <c r="L227" s="79">
        <f>IF(NOT(ISNUMBER(C227)),"",IF(ISNUMBER(N227),N227-C227,TODAY()-C227))</f>
        <v/>
      </c>
      <c r="M227" s="76" t="n"/>
      <c r="N227" s="77" t="n"/>
      <c r="O227" s="84">
        <f>IF(OR(M227="",P227=""),"",IF(EXACT(TRIM(M227),TRIM(P227)),"SELF-VERIFIED",""))</f>
        <v/>
      </c>
      <c r="P227" s="75" t="n"/>
      <c r="Q227" s="79">
        <f>IF(AND(K227="open",ISNUMBER(L227)),L227,"")</f>
        <v/>
      </c>
    </row>
    <row r="228" ht="33.75" customHeight="1" s="38">
      <c r="A228" s="80" t="n"/>
      <c r="B228" s="80" t="n"/>
      <c r="C228" s="82" t="n"/>
      <c r="D228" s="81" t="n"/>
      <c r="E228" s="80" t="n"/>
      <c r="F228" s="81" t="n"/>
      <c r="G228" s="81" t="n"/>
      <c r="H228" s="81" t="n"/>
      <c r="I228" s="81" t="n"/>
      <c r="J228" s="82" t="n"/>
      <c r="K228" s="80" t="n"/>
      <c r="L228" s="79">
        <f>IF(NOT(ISNUMBER(C228)),"",IF(ISNUMBER(N228),N228-C228,TODAY()-C228))</f>
        <v/>
      </c>
      <c r="M228" s="81" t="n"/>
      <c r="N228" s="82" t="n"/>
      <c r="O228" s="84">
        <f>IF(OR(M228="",P228=""),"",IF(EXACT(TRIM(M228),TRIM(P228)),"SELF-VERIFIED",""))</f>
        <v/>
      </c>
      <c r="P228" s="80" t="n"/>
      <c r="Q228" s="79">
        <f>IF(AND(K228="open",ISNUMBER(L228)),L228,"")</f>
        <v/>
      </c>
    </row>
    <row r="229" ht="33.75" customHeight="1" s="38">
      <c r="A229" s="75" t="n"/>
      <c r="B229" s="75" t="n"/>
      <c r="C229" s="77" t="n"/>
      <c r="D229" s="76" t="n"/>
      <c r="E229" s="75" t="n"/>
      <c r="F229" s="76" t="n"/>
      <c r="G229" s="76" t="n"/>
      <c r="H229" s="76" t="n"/>
      <c r="I229" s="76" t="n"/>
      <c r="J229" s="77" t="n"/>
      <c r="K229" s="75" t="n"/>
      <c r="L229" s="79">
        <f>IF(NOT(ISNUMBER(C229)),"",IF(ISNUMBER(N229),N229-C229,TODAY()-C229))</f>
        <v/>
      </c>
      <c r="M229" s="76" t="n"/>
      <c r="N229" s="77" t="n"/>
      <c r="O229" s="84">
        <f>IF(OR(M229="",P229=""),"",IF(EXACT(TRIM(M229),TRIM(P229)),"SELF-VERIFIED",""))</f>
        <v/>
      </c>
      <c r="P229" s="75" t="n"/>
      <c r="Q229" s="79">
        <f>IF(AND(K229="open",ISNUMBER(L229)),L229,"")</f>
        <v/>
      </c>
    </row>
    <row r="230" ht="33.75" customHeight="1" s="38">
      <c r="A230" s="80" t="n"/>
      <c r="B230" s="80" t="n"/>
      <c r="C230" s="82" t="n"/>
      <c r="D230" s="81" t="n"/>
      <c r="E230" s="80" t="n"/>
      <c r="F230" s="81" t="n"/>
      <c r="G230" s="81" t="n"/>
      <c r="H230" s="81" t="n"/>
      <c r="I230" s="81" t="n"/>
      <c r="J230" s="82" t="n"/>
      <c r="K230" s="80" t="n"/>
      <c r="L230" s="79">
        <f>IF(NOT(ISNUMBER(C230)),"",IF(ISNUMBER(N230),N230-C230,TODAY()-C230))</f>
        <v/>
      </c>
      <c r="M230" s="81" t="n"/>
      <c r="N230" s="82" t="n"/>
      <c r="O230" s="84">
        <f>IF(OR(M230="",P230=""),"",IF(EXACT(TRIM(M230),TRIM(P230)),"SELF-VERIFIED",""))</f>
        <v/>
      </c>
      <c r="P230" s="80" t="n"/>
      <c r="Q230" s="79">
        <f>IF(AND(K230="open",ISNUMBER(L230)),L230,"")</f>
        <v/>
      </c>
    </row>
    <row r="231" ht="33.75" customHeight="1" s="38">
      <c r="A231" s="75" t="n"/>
      <c r="B231" s="75" t="n"/>
      <c r="C231" s="77" t="n"/>
      <c r="D231" s="76" t="n"/>
      <c r="E231" s="75" t="n"/>
      <c r="F231" s="76" t="n"/>
      <c r="G231" s="76" t="n"/>
      <c r="H231" s="76" t="n"/>
      <c r="I231" s="76" t="n"/>
      <c r="J231" s="77" t="n"/>
      <c r="K231" s="75" t="n"/>
      <c r="L231" s="79">
        <f>IF(NOT(ISNUMBER(C231)),"",IF(ISNUMBER(N231),N231-C231,TODAY()-C231))</f>
        <v/>
      </c>
      <c r="M231" s="76" t="n"/>
      <c r="N231" s="77" t="n"/>
      <c r="O231" s="84">
        <f>IF(OR(M231="",P231=""),"",IF(EXACT(TRIM(M231),TRIM(P231)),"SELF-VERIFIED",""))</f>
        <v/>
      </c>
      <c r="P231" s="75" t="n"/>
      <c r="Q231" s="79">
        <f>IF(AND(K231="open",ISNUMBER(L231)),L231,"")</f>
        <v/>
      </c>
    </row>
    <row r="232" ht="33.75" customHeight="1" s="38">
      <c r="A232" s="80" t="n"/>
      <c r="B232" s="80" t="n"/>
      <c r="C232" s="82" t="n"/>
      <c r="D232" s="81" t="n"/>
      <c r="E232" s="80" t="n"/>
      <c r="F232" s="81" t="n"/>
      <c r="G232" s="81" t="n"/>
      <c r="H232" s="81" t="n"/>
      <c r="I232" s="81" t="n"/>
      <c r="J232" s="82" t="n"/>
      <c r="K232" s="80" t="n"/>
      <c r="L232" s="79">
        <f>IF(NOT(ISNUMBER(C232)),"",IF(ISNUMBER(N232),N232-C232,TODAY()-C232))</f>
        <v/>
      </c>
      <c r="M232" s="81" t="n"/>
      <c r="N232" s="82" t="n"/>
      <c r="O232" s="84">
        <f>IF(OR(M232="",P232=""),"",IF(EXACT(TRIM(M232),TRIM(P232)),"SELF-VERIFIED",""))</f>
        <v/>
      </c>
      <c r="P232" s="80" t="n"/>
      <c r="Q232" s="79">
        <f>IF(AND(K232="open",ISNUMBER(L232)),L232,"")</f>
        <v/>
      </c>
    </row>
    <row r="233" ht="33.75" customHeight="1" s="38">
      <c r="A233" s="75" t="n"/>
      <c r="B233" s="75" t="n"/>
      <c r="C233" s="77" t="n"/>
      <c r="D233" s="76" t="n"/>
      <c r="E233" s="75" t="n"/>
      <c r="F233" s="76" t="n"/>
      <c r="G233" s="76" t="n"/>
      <c r="H233" s="76" t="n"/>
      <c r="I233" s="76" t="n"/>
      <c r="J233" s="77" t="n"/>
      <c r="K233" s="75" t="n"/>
      <c r="L233" s="79">
        <f>IF(NOT(ISNUMBER(C233)),"",IF(ISNUMBER(N233),N233-C233,TODAY()-C233))</f>
        <v/>
      </c>
      <c r="M233" s="76" t="n"/>
      <c r="N233" s="77" t="n"/>
      <c r="O233" s="84">
        <f>IF(OR(M233="",P233=""),"",IF(EXACT(TRIM(M233),TRIM(P233)),"SELF-VERIFIED",""))</f>
        <v/>
      </c>
      <c r="P233" s="75" t="n"/>
      <c r="Q233" s="79">
        <f>IF(AND(K233="open",ISNUMBER(L233)),L233,"")</f>
        <v/>
      </c>
    </row>
    <row r="234" ht="33.75" customHeight="1" s="38">
      <c r="A234" s="80" t="n"/>
      <c r="B234" s="80" t="n"/>
      <c r="C234" s="82" t="n"/>
      <c r="D234" s="81" t="n"/>
      <c r="E234" s="80" t="n"/>
      <c r="F234" s="81" t="n"/>
      <c r="G234" s="81" t="n"/>
      <c r="H234" s="81" t="n"/>
      <c r="I234" s="81" t="n"/>
      <c r="J234" s="82" t="n"/>
      <c r="K234" s="80" t="n"/>
      <c r="L234" s="79">
        <f>IF(NOT(ISNUMBER(C234)),"",IF(ISNUMBER(N234),N234-C234,TODAY()-C234))</f>
        <v/>
      </c>
      <c r="M234" s="81" t="n"/>
      <c r="N234" s="82" t="n"/>
      <c r="O234" s="84">
        <f>IF(OR(M234="",P234=""),"",IF(EXACT(TRIM(M234),TRIM(P234)),"SELF-VERIFIED",""))</f>
        <v/>
      </c>
      <c r="P234" s="80" t="n"/>
      <c r="Q234" s="79">
        <f>IF(AND(K234="open",ISNUMBER(L234)),L234,"")</f>
        <v/>
      </c>
    </row>
    <row r="235" ht="33.75" customHeight="1" s="38">
      <c r="A235" s="75" t="n"/>
      <c r="B235" s="75" t="n"/>
      <c r="C235" s="77" t="n"/>
      <c r="D235" s="76" t="n"/>
      <c r="E235" s="75" t="n"/>
      <c r="F235" s="76" t="n"/>
      <c r="G235" s="76" t="n"/>
      <c r="H235" s="76" t="n"/>
      <c r="I235" s="76" t="n"/>
      <c r="J235" s="77" t="n"/>
      <c r="K235" s="75" t="n"/>
      <c r="L235" s="79">
        <f>IF(NOT(ISNUMBER(C235)),"",IF(ISNUMBER(N235),N235-C235,TODAY()-C235))</f>
        <v/>
      </c>
      <c r="M235" s="76" t="n"/>
      <c r="N235" s="77" t="n"/>
      <c r="O235" s="84">
        <f>IF(OR(M235="",P235=""),"",IF(EXACT(TRIM(M235),TRIM(P235)),"SELF-VERIFIED",""))</f>
        <v/>
      </c>
      <c r="P235" s="75" t="n"/>
      <c r="Q235" s="79">
        <f>IF(AND(K235="open",ISNUMBER(L235)),L235,"")</f>
        <v/>
      </c>
    </row>
    <row r="236" ht="33.75" customHeight="1" s="38">
      <c r="A236" s="80" t="n"/>
      <c r="B236" s="80" t="n"/>
      <c r="C236" s="82" t="n"/>
      <c r="D236" s="81" t="n"/>
      <c r="E236" s="80" t="n"/>
      <c r="F236" s="81" t="n"/>
      <c r="G236" s="81" t="n"/>
      <c r="H236" s="81" t="n"/>
      <c r="I236" s="81" t="n"/>
      <c r="J236" s="82" t="n"/>
      <c r="K236" s="80" t="n"/>
      <c r="L236" s="79">
        <f>IF(NOT(ISNUMBER(C236)),"",IF(ISNUMBER(N236),N236-C236,TODAY()-C236))</f>
        <v/>
      </c>
      <c r="M236" s="81" t="n"/>
      <c r="N236" s="82" t="n"/>
      <c r="O236" s="84">
        <f>IF(OR(M236="",P236=""),"",IF(EXACT(TRIM(M236),TRIM(P236)),"SELF-VERIFIED",""))</f>
        <v/>
      </c>
      <c r="P236" s="80" t="n"/>
      <c r="Q236" s="79">
        <f>IF(AND(K236="open",ISNUMBER(L236)),L236,"")</f>
        <v/>
      </c>
    </row>
    <row r="237" ht="33.75" customHeight="1" s="38">
      <c r="A237" s="75" t="n"/>
      <c r="B237" s="75" t="n"/>
      <c r="C237" s="77" t="n"/>
      <c r="D237" s="76" t="n"/>
      <c r="E237" s="75" t="n"/>
      <c r="F237" s="76" t="n"/>
      <c r="G237" s="76" t="n"/>
      <c r="H237" s="76" t="n"/>
      <c r="I237" s="76" t="n"/>
      <c r="J237" s="77" t="n"/>
      <c r="K237" s="75" t="n"/>
      <c r="L237" s="79">
        <f>IF(NOT(ISNUMBER(C237)),"",IF(ISNUMBER(N237),N237-C237,TODAY()-C237))</f>
        <v/>
      </c>
      <c r="M237" s="76" t="n"/>
      <c r="N237" s="77" t="n"/>
      <c r="O237" s="84">
        <f>IF(OR(M237="",P237=""),"",IF(EXACT(TRIM(M237),TRIM(P237)),"SELF-VERIFIED",""))</f>
        <v/>
      </c>
      <c r="P237" s="75" t="n"/>
      <c r="Q237" s="79">
        <f>IF(AND(K237="open",ISNUMBER(L237)),L237,"")</f>
        <v/>
      </c>
    </row>
    <row r="238" ht="33.75" customHeight="1" s="38">
      <c r="A238" s="80" t="n"/>
      <c r="B238" s="80" t="n"/>
      <c r="C238" s="82" t="n"/>
      <c r="D238" s="81" t="n"/>
      <c r="E238" s="80" t="n"/>
      <c r="F238" s="81" t="n"/>
      <c r="G238" s="81" t="n"/>
      <c r="H238" s="81" t="n"/>
      <c r="I238" s="81" t="n"/>
      <c r="J238" s="82" t="n"/>
      <c r="K238" s="80" t="n"/>
      <c r="L238" s="79">
        <f>IF(NOT(ISNUMBER(C238)),"",IF(ISNUMBER(N238),N238-C238,TODAY()-C238))</f>
        <v/>
      </c>
      <c r="M238" s="81" t="n"/>
      <c r="N238" s="82" t="n"/>
      <c r="O238" s="84">
        <f>IF(OR(M238="",P238=""),"",IF(EXACT(TRIM(M238),TRIM(P238)),"SELF-VERIFIED",""))</f>
        <v/>
      </c>
      <c r="P238" s="80" t="n"/>
      <c r="Q238" s="79">
        <f>IF(AND(K238="open",ISNUMBER(L238)),L238,"")</f>
        <v/>
      </c>
    </row>
    <row r="239" ht="33.75" customHeight="1" s="38">
      <c r="A239" s="75" t="n"/>
      <c r="B239" s="75" t="n"/>
      <c r="C239" s="77" t="n"/>
      <c r="D239" s="76" t="n"/>
      <c r="E239" s="75" t="n"/>
      <c r="F239" s="76" t="n"/>
      <c r="G239" s="76" t="n"/>
      <c r="H239" s="76" t="n"/>
      <c r="I239" s="76" t="n"/>
      <c r="J239" s="77" t="n"/>
      <c r="K239" s="75" t="n"/>
      <c r="L239" s="79">
        <f>IF(NOT(ISNUMBER(C239)),"",IF(ISNUMBER(N239),N239-C239,TODAY()-C239))</f>
        <v/>
      </c>
      <c r="M239" s="76" t="n"/>
      <c r="N239" s="77" t="n"/>
      <c r="O239" s="84">
        <f>IF(OR(M239="",P239=""),"",IF(EXACT(TRIM(M239),TRIM(P239)),"SELF-VERIFIED",""))</f>
        <v/>
      </c>
      <c r="P239" s="75" t="n"/>
      <c r="Q239" s="79">
        <f>IF(AND(K239="open",ISNUMBER(L239)),L239,"")</f>
        <v/>
      </c>
    </row>
    <row r="240" ht="33.75" customHeight="1" s="38">
      <c r="A240" s="80" t="n"/>
      <c r="B240" s="80" t="n"/>
      <c r="C240" s="82" t="n"/>
      <c r="D240" s="81" t="n"/>
      <c r="E240" s="80" t="n"/>
      <c r="F240" s="81" t="n"/>
      <c r="G240" s="81" t="n"/>
      <c r="H240" s="81" t="n"/>
      <c r="I240" s="81" t="n"/>
      <c r="J240" s="82" t="n"/>
      <c r="K240" s="80" t="n"/>
      <c r="L240" s="79">
        <f>IF(NOT(ISNUMBER(C240)),"",IF(ISNUMBER(N240),N240-C240,TODAY()-C240))</f>
        <v/>
      </c>
      <c r="M240" s="81" t="n"/>
      <c r="N240" s="82" t="n"/>
      <c r="O240" s="84">
        <f>IF(OR(M240="",P240=""),"",IF(EXACT(TRIM(M240),TRIM(P240)),"SELF-VERIFIED",""))</f>
        <v/>
      </c>
      <c r="P240" s="80" t="n"/>
      <c r="Q240" s="79">
        <f>IF(AND(K240="open",ISNUMBER(L240)),L240,"")</f>
        <v/>
      </c>
    </row>
    <row r="241" ht="33.75" customHeight="1" s="38">
      <c r="A241" s="75" t="n"/>
      <c r="B241" s="75" t="n"/>
      <c r="C241" s="77" t="n"/>
      <c r="D241" s="76" t="n"/>
      <c r="E241" s="75" t="n"/>
      <c r="F241" s="76" t="n"/>
      <c r="G241" s="76" t="n"/>
      <c r="H241" s="76" t="n"/>
      <c r="I241" s="76" t="n"/>
      <c r="J241" s="77" t="n"/>
      <c r="K241" s="75" t="n"/>
      <c r="L241" s="79">
        <f>IF(NOT(ISNUMBER(C241)),"",IF(ISNUMBER(N241),N241-C241,TODAY()-C241))</f>
        <v/>
      </c>
      <c r="M241" s="76" t="n"/>
      <c r="N241" s="77" t="n"/>
      <c r="O241" s="84">
        <f>IF(OR(M241="",P241=""),"",IF(EXACT(TRIM(M241),TRIM(P241)),"SELF-VERIFIED",""))</f>
        <v/>
      </c>
      <c r="P241" s="75" t="n"/>
      <c r="Q241" s="79">
        <f>IF(AND(K241="open",ISNUMBER(L241)),L241,"")</f>
        <v/>
      </c>
    </row>
    <row r="242" ht="33.75" customHeight="1" s="38">
      <c r="A242" s="80" t="n"/>
      <c r="B242" s="80" t="n"/>
      <c r="C242" s="82" t="n"/>
      <c r="D242" s="81" t="n"/>
      <c r="E242" s="80" t="n"/>
      <c r="F242" s="81" t="n"/>
      <c r="G242" s="81" t="n"/>
      <c r="H242" s="81" t="n"/>
      <c r="I242" s="81" t="n"/>
      <c r="J242" s="82" t="n"/>
      <c r="K242" s="80" t="n"/>
      <c r="L242" s="79">
        <f>IF(NOT(ISNUMBER(C242)),"",IF(ISNUMBER(N242),N242-C242,TODAY()-C242))</f>
        <v/>
      </c>
      <c r="M242" s="81" t="n"/>
      <c r="N242" s="82" t="n"/>
      <c r="O242" s="84">
        <f>IF(OR(M242="",P242=""),"",IF(EXACT(TRIM(M242),TRIM(P242)),"SELF-VERIFIED",""))</f>
        <v/>
      </c>
      <c r="P242" s="80" t="n"/>
      <c r="Q242" s="79">
        <f>IF(AND(K242="open",ISNUMBER(L242)),L242,"")</f>
        <v/>
      </c>
    </row>
    <row r="243" ht="33.75" customHeight="1" s="38">
      <c r="A243" s="75" t="n"/>
      <c r="B243" s="75" t="n"/>
      <c r="C243" s="77" t="n"/>
      <c r="D243" s="76" t="n"/>
      <c r="E243" s="75" t="n"/>
      <c r="F243" s="76" t="n"/>
      <c r="G243" s="76" t="n"/>
      <c r="H243" s="76" t="n"/>
      <c r="I243" s="76" t="n"/>
      <c r="J243" s="77" t="n"/>
      <c r="K243" s="75" t="n"/>
      <c r="L243" s="79">
        <f>IF(NOT(ISNUMBER(C243)),"",IF(ISNUMBER(N243),N243-C243,TODAY()-C243))</f>
        <v/>
      </c>
      <c r="M243" s="76" t="n"/>
      <c r="N243" s="77" t="n"/>
      <c r="O243" s="84">
        <f>IF(OR(M243="",P243=""),"",IF(EXACT(TRIM(M243),TRIM(P243)),"SELF-VERIFIED",""))</f>
        <v/>
      </c>
      <c r="P243" s="75" t="n"/>
      <c r="Q243" s="79">
        <f>IF(AND(K243="open",ISNUMBER(L243)),L243,"")</f>
        <v/>
      </c>
    </row>
    <row r="244" ht="33.75" customHeight="1" s="38">
      <c r="A244" s="80" t="n"/>
      <c r="B244" s="80" t="n"/>
      <c r="C244" s="82" t="n"/>
      <c r="D244" s="81" t="n"/>
      <c r="E244" s="80" t="n"/>
      <c r="F244" s="81" t="n"/>
      <c r="G244" s="81" t="n"/>
      <c r="H244" s="81" t="n"/>
      <c r="I244" s="81" t="n"/>
      <c r="J244" s="82" t="n"/>
      <c r="K244" s="80" t="n"/>
      <c r="L244" s="79">
        <f>IF(NOT(ISNUMBER(C244)),"",IF(ISNUMBER(N244),N244-C244,TODAY()-C244))</f>
        <v/>
      </c>
      <c r="M244" s="81" t="n"/>
      <c r="N244" s="82" t="n"/>
      <c r="O244" s="84">
        <f>IF(OR(M244="",P244=""),"",IF(EXACT(TRIM(M244),TRIM(P244)),"SELF-VERIFIED",""))</f>
        <v/>
      </c>
      <c r="P244" s="80" t="n"/>
      <c r="Q244" s="79">
        <f>IF(AND(K244="open",ISNUMBER(L244)),L244,"")</f>
        <v/>
      </c>
    </row>
    <row r="245" ht="33.75" customHeight="1" s="38">
      <c r="A245" s="75" t="n"/>
      <c r="B245" s="75" t="n"/>
      <c r="C245" s="77" t="n"/>
      <c r="D245" s="76" t="n"/>
      <c r="E245" s="75" t="n"/>
      <c r="F245" s="76" t="n"/>
      <c r="G245" s="76" t="n"/>
      <c r="H245" s="76" t="n"/>
      <c r="I245" s="76" t="n"/>
      <c r="J245" s="77" t="n"/>
      <c r="K245" s="75" t="n"/>
      <c r="L245" s="79">
        <f>IF(NOT(ISNUMBER(C245)),"",IF(ISNUMBER(N245),N245-C245,TODAY()-C245))</f>
        <v/>
      </c>
      <c r="M245" s="76" t="n"/>
      <c r="N245" s="77" t="n"/>
      <c r="O245" s="84">
        <f>IF(OR(M245="",P245=""),"",IF(EXACT(TRIM(M245),TRIM(P245)),"SELF-VERIFIED",""))</f>
        <v/>
      </c>
      <c r="P245" s="75" t="n"/>
      <c r="Q245" s="79">
        <f>IF(AND(K245="open",ISNUMBER(L245)),L245,"")</f>
        <v/>
      </c>
    </row>
    <row r="246" ht="33.75" customHeight="1" s="38">
      <c r="A246" s="80" t="n"/>
      <c r="B246" s="80" t="n"/>
      <c r="C246" s="82" t="n"/>
      <c r="D246" s="81" t="n"/>
      <c r="E246" s="80" t="n"/>
      <c r="F246" s="81" t="n"/>
      <c r="G246" s="81" t="n"/>
      <c r="H246" s="81" t="n"/>
      <c r="I246" s="81" t="n"/>
      <c r="J246" s="82" t="n"/>
      <c r="K246" s="80" t="n"/>
      <c r="L246" s="79">
        <f>IF(NOT(ISNUMBER(C246)),"",IF(ISNUMBER(N246),N246-C246,TODAY()-C246))</f>
        <v/>
      </c>
      <c r="M246" s="81" t="n"/>
      <c r="N246" s="82" t="n"/>
      <c r="O246" s="84">
        <f>IF(OR(M246="",P246=""),"",IF(EXACT(TRIM(M246),TRIM(P246)),"SELF-VERIFIED",""))</f>
        <v/>
      </c>
      <c r="P246" s="80" t="n"/>
      <c r="Q246" s="79">
        <f>IF(AND(K246="open",ISNUMBER(L246)),L246,"")</f>
        <v/>
      </c>
    </row>
    <row r="247" ht="33.75" customHeight="1" s="38">
      <c r="A247" s="75" t="n"/>
      <c r="B247" s="75" t="n"/>
      <c r="C247" s="77" t="n"/>
      <c r="D247" s="76" t="n"/>
      <c r="E247" s="75" t="n"/>
      <c r="F247" s="76" t="n"/>
      <c r="G247" s="76" t="n"/>
      <c r="H247" s="76" t="n"/>
      <c r="I247" s="76" t="n"/>
      <c r="J247" s="77" t="n"/>
      <c r="K247" s="75" t="n"/>
      <c r="L247" s="79">
        <f>IF(NOT(ISNUMBER(C247)),"",IF(ISNUMBER(N247),N247-C247,TODAY()-C247))</f>
        <v/>
      </c>
      <c r="M247" s="76" t="n"/>
      <c r="N247" s="77" t="n"/>
      <c r="O247" s="84">
        <f>IF(OR(M247="",P247=""),"",IF(EXACT(TRIM(M247),TRIM(P247)),"SELF-VERIFIED",""))</f>
        <v/>
      </c>
      <c r="P247" s="75" t="n"/>
      <c r="Q247" s="79">
        <f>IF(AND(K247="open",ISNUMBER(L247)),L247,"")</f>
        <v/>
      </c>
    </row>
    <row r="248" ht="33.75" customHeight="1" s="38">
      <c r="A248" s="80" t="n"/>
      <c r="B248" s="80" t="n"/>
      <c r="C248" s="82" t="n"/>
      <c r="D248" s="81" t="n"/>
      <c r="E248" s="80" t="n"/>
      <c r="F248" s="81" t="n"/>
      <c r="G248" s="81" t="n"/>
      <c r="H248" s="81" t="n"/>
      <c r="I248" s="81" t="n"/>
      <c r="J248" s="82" t="n"/>
      <c r="K248" s="80" t="n"/>
      <c r="L248" s="79">
        <f>IF(NOT(ISNUMBER(C248)),"",IF(ISNUMBER(N248),N248-C248,TODAY()-C248))</f>
        <v/>
      </c>
      <c r="M248" s="81" t="n"/>
      <c r="N248" s="82" t="n"/>
      <c r="O248" s="84">
        <f>IF(OR(M248="",P248=""),"",IF(EXACT(TRIM(M248),TRIM(P248)),"SELF-VERIFIED",""))</f>
        <v/>
      </c>
      <c r="P248" s="80" t="n"/>
      <c r="Q248" s="79">
        <f>IF(AND(K248="open",ISNUMBER(L248)),L248,"")</f>
        <v/>
      </c>
    </row>
    <row r="249" ht="33.75" customHeight="1" s="38">
      <c r="A249" s="75" t="n"/>
      <c r="B249" s="75" t="n"/>
      <c r="C249" s="77" t="n"/>
      <c r="D249" s="76" t="n"/>
      <c r="E249" s="75" t="n"/>
      <c r="F249" s="76" t="n"/>
      <c r="G249" s="76" t="n"/>
      <c r="H249" s="76" t="n"/>
      <c r="I249" s="76" t="n"/>
      <c r="J249" s="77" t="n"/>
      <c r="K249" s="75" t="n"/>
      <c r="L249" s="79">
        <f>IF(NOT(ISNUMBER(C249)),"",IF(ISNUMBER(N249),N249-C249,TODAY()-C249))</f>
        <v/>
      </c>
      <c r="M249" s="76" t="n"/>
      <c r="N249" s="77" t="n"/>
      <c r="O249" s="84">
        <f>IF(OR(M249="",P249=""),"",IF(EXACT(TRIM(M249),TRIM(P249)),"SELF-VERIFIED",""))</f>
        <v/>
      </c>
      <c r="P249" s="75" t="n"/>
      <c r="Q249" s="79">
        <f>IF(AND(K249="open",ISNUMBER(L249)),L249,"")</f>
        <v/>
      </c>
    </row>
    <row r="250" ht="33.75" customHeight="1" s="38">
      <c r="A250" s="80" t="n"/>
      <c r="B250" s="80" t="n"/>
      <c r="C250" s="82" t="n"/>
      <c r="D250" s="81" t="n"/>
      <c r="E250" s="80" t="n"/>
      <c r="F250" s="81" t="n"/>
      <c r="G250" s="81" t="n"/>
      <c r="H250" s="81" t="n"/>
      <c r="I250" s="81" t="n"/>
      <c r="J250" s="82" t="n"/>
      <c r="K250" s="80" t="n"/>
      <c r="L250" s="79">
        <f>IF(NOT(ISNUMBER(C250)),"",IF(ISNUMBER(N250),N250-C250,TODAY()-C250))</f>
        <v/>
      </c>
      <c r="M250" s="81" t="n"/>
      <c r="N250" s="82" t="n"/>
      <c r="O250" s="84">
        <f>IF(OR(M250="",P250=""),"",IF(EXACT(TRIM(M250),TRIM(P250)),"SELF-VERIFIED",""))</f>
        <v/>
      </c>
      <c r="P250" s="80" t="n"/>
      <c r="Q250" s="79">
        <f>IF(AND(K250="open",ISNUMBER(L250)),L250,"")</f>
        <v/>
      </c>
    </row>
    <row r="251" ht="33.75" customHeight="1" s="38">
      <c r="A251" s="75" t="n"/>
      <c r="B251" s="75" t="n"/>
      <c r="C251" s="77" t="n"/>
      <c r="D251" s="76" t="n"/>
      <c r="E251" s="75" t="n"/>
      <c r="F251" s="76" t="n"/>
      <c r="G251" s="76" t="n"/>
      <c r="H251" s="76" t="n"/>
      <c r="I251" s="76" t="n"/>
      <c r="J251" s="77" t="n"/>
      <c r="K251" s="75" t="n"/>
      <c r="L251" s="79">
        <f>IF(NOT(ISNUMBER(C251)),"",IF(ISNUMBER(N251),N251-C251,TODAY()-C251))</f>
        <v/>
      </c>
      <c r="M251" s="76" t="n"/>
      <c r="N251" s="77" t="n"/>
      <c r="O251" s="84">
        <f>IF(OR(M251="",P251=""),"",IF(EXACT(TRIM(M251),TRIM(P251)),"SELF-VERIFIED",""))</f>
        <v/>
      </c>
      <c r="P251" s="75" t="n"/>
      <c r="Q251" s="79">
        <f>IF(AND(K251="open",ISNUMBER(L251)),L251,"")</f>
        <v/>
      </c>
    </row>
    <row r="252" ht="33.75" customHeight="1" s="38">
      <c r="A252" s="80" t="n"/>
      <c r="B252" s="80" t="n"/>
      <c r="C252" s="82" t="n"/>
      <c r="D252" s="81" t="n"/>
      <c r="E252" s="80" t="n"/>
      <c r="F252" s="81" t="n"/>
      <c r="G252" s="81" t="n"/>
      <c r="H252" s="81" t="n"/>
      <c r="I252" s="81" t="n"/>
      <c r="J252" s="82" t="n"/>
      <c r="K252" s="80" t="n"/>
      <c r="L252" s="79">
        <f>IF(NOT(ISNUMBER(C252)),"",IF(ISNUMBER(N252),N252-C252,TODAY()-C252))</f>
        <v/>
      </c>
      <c r="M252" s="81" t="n"/>
      <c r="N252" s="82" t="n"/>
      <c r="O252" s="84">
        <f>IF(OR(M252="",P252=""),"",IF(EXACT(TRIM(M252),TRIM(P252)),"SELF-VERIFIED",""))</f>
        <v/>
      </c>
      <c r="P252" s="80" t="n"/>
      <c r="Q252" s="79">
        <f>IF(AND(K252="open",ISNUMBER(L252)),L252,"")</f>
        <v/>
      </c>
    </row>
    <row r="253" ht="33.75" customHeight="1" s="38">
      <c r="A253" s="75" t="n"/>
      <c r="B253" s="75" t="n"/>
      <c r="C253" s="77" t="n"/>
      <c r="D253" s="76" t="n"/>
      <c r="E253" s="75" t="n"/>
      <c r="F253" s="76" t="n"/>
      <c r="G253" s="76" t="n"/>
      <c r="H253" s="76" t="n"/>
      <c r="I253" s="76" t="n"/>
      <c r="J253" s="77" t="n"/>
      <c r="K253" s="75" t="n"/>
      <c r="L253" s="79">
        <f>IF(NOT(ISNUMBER(C253)),"",IF(ISNUMBER(N253),N253-C253,TODAY()-C253))</f>
        <v/>
      </c>
      <c r="M253" s="76" t="n"/>
      <c r="N253" s="77" t="n"/>
      <c r="O253" s="84">
        <f>IF(OR(M253="",P253=""),"",IF(EXACT(TRIM(M253),TRIM(P253)),"SELF-VERIFIED",""))</f>
        <v/>
      </c>
      <c r="P253" s="75" t="n"/>
      <c r="Q253" s="79">
        <f>IF(AND(K253="open",ISNUMBER(L253)),L253,"")</f>
        <v/>
      </c>
    </row>
    <row r="254" ht="33.75" customHeight="1" s="38">
      <c r="A254" s="80" t="n"/>
      <c r="B254" s="80" t="n"/>
      <c r="C254" s="82" t="n"/>
      <c r="D254" s="81" t="n"/>
      <c r="E254" s="80" t="n"/>
      <c r="F254" s="81" t="n"/>
      <c r="G254" s="81" t="n"/>
      <c r="H254" s="81" t="n"/>
      <c r="I254" s="81" t="n"/>
      <c r="J254" s="82" t="n"/>
      <c r="K254" s="80" t="n"/>
      <c r="L254" s="79">
        <f>IF(NOT(ISNUMBER(C254)),"",IF(ISNUMBER(N254),N254-C254,TODAY()-C254))</f>
        <v/>
      </c>
      <c r="M254" s="81" t="n"/>
      <c r="N254" s="82" t="n"/>
      <c r="O254" s="84">
        <f>IF(OR(M254="",P254=""),"",IF(EXACT(TRIM(M254),TRIM(P254)),"SELF-VERIFIED",""))</f>
        <v/>
      </c>
      <c r="P254" s="80" t="n"/>
      <c r="Q254" s="79">
        <f>IF(AND(K254="open",ISNUMBER(L254)),L254,"")</f>
        <v/>
      </c>
    </row>
    <row r="255" ht="33.75" customHeight="1" s="38">
      <c r="A255" s="75" t="n"/>
      <c r="B255" s="75" t="n"/>
      <c r="C255" s="77" t="n"/>
      <c r="D255" s="76" t="n"/>
      <c r="E255" s="75" t="n"/>
      <c r="F255" s="76" t="n"/>
      <c r="G255" s="76" t="n"/>
      <c r="H255" s="76" t="n"/>
      <c r="I255" s="76" t="n"/>
      <c r="J255" s="77" t="n"/>
      <c r="K255" s="75" t="n"/>
      <c r="L255" s="79">
        <f>IF(NOT(ISNUMBER(C255)),"",IF(ISNUMBER(N255),N255-C255,TODAY()-C255))</f>
        <v/>
      </c>
      <c r="M255" s="76" t="n"/>
      <c r="N255" s="77" t="n"/>
      <c r="O255" s="84">
        <f>IF(OR(M255="",P255=""),"",IF(EXACT(TRIM(M255),TRIM(P255)),"SELF-VERIFIED",""))</f>
        <v/>
      </c>
      <c r="P255" s="75" t="n"/>
      <c r="Q255" s="79">
        <f>IF(AND(K255="open",ISNUMBER(L255)),L255,"")</f>
        <v/>
      </c>
    </row>
    <row r="256" ht="33.75" customHeight="1" s="38">
      <c r="A256" s="80" t="n"/>
      <c r="B256" s="80" t="n"/>
      <c r="C256" s="82" t="n"/>
      <c r="D256" s="81" t="n"/>
      <c r="E256" s="80" t="n"/>
      <c r="F256" s="81" t="n"/>
      <c r="G256" s="81" t="n"/>
      <c r="H256" s="81" t="n"/>
      <c r="I256" s="81" t="n"/>
      <c r="J256" s="82" t="n"/>
      <c r="K256" s="80" t="n"/>
      <c r="L256" s="79">
        <f>IF(NOT(ISNUMBER(C256)),"",IF(ISNUMBER(N256),N256-C256,TODAY()-C256))</f>
        <v/>
      </c>
      <c r="M256" s="81" t="n"/>
      <c r="N256" s="82" t="n"/>
      <c r="O256" s="84">
        <f>IF(OR(M256="",P256=""),"",IF(EXACT(TRIM(M256),TRIM(P256)),"SELF-VERIFIED",""))</f>
        <v/>
      </c>
      <c r="P256" s="80" t="n"/>
      <c r="Q256" s="79">
        <f>IF(AND(K256="open",ISNUMBER(L256)),L256,"")</f>
        <v/>
      </c>
    </row>
    <row r="257" ht="33.75" customHeight="1" s="38">
      <c r="A257" s="75" t="n"/>
      <c r="B257" s="75" t="n"/>
      <c r="C257" s="77" t="n"/>
      <c r="D257" s="76" t="n"/>
      <c r="E257" s="75" t="n"/>
      <c r="F257" s="76" t="n"/>
      <c r="G257" s="76" t="n"/>
      <c r="H257" s="76" t="n"/>
      <c r="I257" s="76" t="n"/>
      <c r="J257" s="77" t="n"/>
      <c r="K257" s="75" t="n"/>
      <c r="L257" s="79">
        <f>IF(NOT(ISNUMBER(C257)),"",IF(ISNUMBER(N257),N257-C257,TODAY()-C257))</f>
        <v/>
      </c>
      <c r="M257" s="76" t="n"/>
      <c r="N257" s="77" t="n"/>
      <c r="O257" s="84">
        <f>IF(OR(M257="",P257=""),"",IF(EXACT(TRIM(M257),TRIM(P257)),"SELF-VERIFIED",""))</f>
        <v/>
      </c>
      <c r="P257" s="75" t="n"/>
      <c r="Q257" s="79">
        <f>IF(AND(K257="open",ISNUMBER(L257)),L257,"")</f>
        <v/>
      </c>
    </row>
    <row r="258" ht="33.75" customHeight="1" s="38">
      <c r="A258" s="80" t="n"/>
      <c r="B258" s="80" t="n"/>
      <c r="C258" s="82" t="n"/>
      <c r="D258" s="81" t="n"/>
      <c r="E258" s="80" t="n"/>
      <c r="F258" s="81" t="n"/>
      <c r="G258" s="81" t="n"/>
      <c r="H258" s="81" t="n"/>
      <c r="I258" s="81" t="n"/>
      <c r="J258" s="82" t="n"/>
      <c r="K258" s="80" t="n"/>
      <c r="L258" s="79">
        <f>IF(NOT(ISNUMBER(C258)),"",IF(ISNUMBER(N258),N258-C258,TODAY()-C258))</f>
        <v/>
      </c>
      <c r="M258" s="81" t="n"/>
      <c r="N258" s="82" t="n"/>
      <c r="O258" s="84">
        <f>IF(OR(M258="",P258=""),"",IF(EXACT(TRIM(M258),TRIM(P258)),"SELF-VERIFIED",""))</f>
        <v/>
      </c>
      <c r="P258" s="80" t="n"/>
      <c r="Q258" s="79">
        <f>IF(AND(K258="open",ISNUMBER(L258)),L258,"")</f>
        <v/>
      </c>
    </row>
    <row r="259" ht="33.75" customHeight="1" s="38">
      <c r="A259" s="75" t="n"/>
      <c r="B259" s="75" t="n"/>
      <c r="C259" s="77" t="n"/>
      <c r="D259" s="76" t="n"/>
      <c r="E259" s="75" t="n"/>
      <c r="F259" s="76" t="n"/>
      <c r="G259" s="76" t="n"/>
      <c r="H259" s="76" t="n"/>
      <c r="I259" s="76" t="n"/>
      <c r="J259" s="77" t="n"/>
      <c r="K259" s="75" t="n"/>
      <c r="L259" s="79">
        <f>IF(NOT(ISNUMBER(C259)),"",IF(ISNUMBER(N259),N259-C259,TODAY()-C259))</f>
        <v/>
      </c>
      <c r="M259" s="76" t="n"/>
      <c r="N259" s="77" t="n"/>
      <c r="O259" s="84">
        <f>IF(OR(M259="",P259=""),"",IF(EXACT(TRIM(M259),TRIM(P259)),"SELF-VERIFIED",""))</f>
        <v/>
      </c>
      <c r="P259" s="75" t="n"/>
      <c r="Q259" s="79">
        <f>IF(AND(K259="open",ISNUMBER(L259)),L259,"")</f>
        <v/>
      </c>
    </row>
    <row r="260" ht="33.75" customHeight="1" s="38">
      <c r="A260" s="80" t="n"/>
      <c r="B260" s="80" t="n"/>
      <c r="C260" s="82" t="n"/>
      <c r="D260" s="81" t="n"/>
      <c r="E260" s="80" t="n"/>
      <c r="F260" s="81" t="n"/>
      <c r="G260" s="81" t="n"/>
      <c r="H260" s="81" t="n"/>
      <c r="I260" s="81" t="n"/>
      <c r="J260" s="82" t="n"/>
      <c r="K260" s="80" t="n"/>
      <c r="L260" s="79">
        <f>IF(NOT(ISNUMBER(C260)),"",IF(ISNUMBER(N260),N260-C260,TODAY()-C260))</f>
        <v/>
      </c>
      <c r="M260" s="81" t="n"/>
      <c r="N260" s="82" t="n"/>
      <c r="O260" s="84">
        <f>IF(OR(M260="",P260=""),"",IF(EXACT(TRIM(M260),TRIM(P260)),"SELF-VERIFIED",""))</f>
        <v/>
      </c>
      <c r="P260" s="80" t="n"/>
      <c r="Q260" s="79">
        <f>IF(AND(K260="open",ISNUMBER(L260)),L260,"")</f>
        <v/>
      </c>
    </row>
    <row r="261" ht="33.75" customHeight="1" s="38">
      <c r="A261" s="75" t="n"/>
      <c r="B261" s="75" t="n"/>
      <c r="C261" s="77" t="n"/>
      <c r="D261" s="76" t="n"/>
      <c r="E261" s="75" t="n"/>
      <c r="F261" s="76" t="n"/>
      <c r="G261" s="76" t="n"/>
      <c r="H261" s="76" t="n"/>
      <c r="I261" s="76" t="n"/>
      <c r="J261" s="77" t="n"/>
      <c r="K261" s="75" t="n"/>
      <c r="L261" s="79">
        <f>IF(NOT(ISNUMBER(C261)),"",IF(ISNUMBER(N261),N261-C261,TODAY()-C261))</f>
        <v/>
      </c>
      <c r="M261" s="76" t="n"/>
      <c r="N261" s="77" t="n"/>
      <c r="O261" s="84">
        <f>IF(OR(M261="",P261=""),"",IF(EXACT(TRIM(M261),TRIM(P261)),"SELF-VERIFIED",""))</f>
        <v/>
      </c>
      <c r="P261" s="75" t="n"/>
      <c r="Q261" s="79">
        <f>IF(AND(K261="open",ISNUMBER(L261)),L261,"")</f>
        <v/>
      </c>
    </row>
    <row r="262" ht="33.75" customHeight="1" s="38">
      <c r="A262" s="80" t="n"/>
      <c r="B262" s="80" t="n"/>
      <c r="C262" s="82" t="n"/>
      <c r="D262" s="81" t="n"/>
      <c r="E262" s="80" t="n"/>
      <c r="F262" s="81" t="n"/>
      <c r="G262" s="81" t="n"/>
      <c r="H262" s="81" t="n"/>
      <c r="I262" s="81" t="n"/>
      <c r="J262" s="82" t="n"/>
      <c r="K262" s="80" t="n"/>
      <c r="L262" s="79">
        <f>IF(NOT(ISNUMBER(C262)),"",IF(ISNUMBER(N262),N262-C262,TODAY()-C262))</f>
        <v/>
      </c>
      <c r="M262" s="81" t="n"/>
      <c r="N262" s="82" t="n"/>
      <c r="O262" s="84">
        <f>IF(OR(M262="",P262=""),"",IF(EXACT(TRIM(M262),TRIM(P262)),"SELF-VERIFIED",""))</f>
        <v/>
      </c>
      <c r="P262" s="80" t="n"/>
      <c r="Q262" s="79">
        <f>IF(AND(K262="open",ISNUMBER(L262)),L262,"")</f>
        <v/>
      </c>
    </row>
    <row r="263" ht="33.75" customHeight="1" s="38">
      <c r="A263" s="75" t="n"/>
      <c r="B263" s="75" t="n"/>
      <c r="C263" s="77" t="n"/>
      <c r="D263" s="76" t="n"/>
      <c r="E263" s="75" t="n"/>
      <c r="F263" s="76" t="n"/>
      <c r="G263" s="76" t="n"/>
      <c r="H263" s="76" t="n"/>
      <c r="I263" s="76" t="n"/>
      <c r="J263" s="77" t="n"/>
      <c r="K263" s="75" t="n"/>
      <c r="L263" s="79">
        <f>IF(NOT(ISNUMBER(C263)),"",IF(ISNUMBER(N263),N263-C263,TODAY()-C263))</f>
        <v/>
      </c>
      <c r="M263" s="76" t="n"/>
      <c r="N263" s="77" t="n"/>
      <c r="O263" s="84">
        <f>IF(OR(M263="",P263=""),"",IF(EXACT(TRIM(M263),TRIM(P263)),"SELF-VERIFIED",""))</f>
        <v/>
      </c>
      <c r="P263" s="75" t="n"/>
      <c r="Q263" s="79">
        <f>IF(AND(K263="open",ISNUMBER(L263)),L263,"")</f>
        <v/>
      </c>
    </row>
    <row r="264" ht="33.75" customHeight="1" s="38">
      <c r="A264" s="80" t="n"/>
      <c r="B264" s="80" t="n"/>
      <c r="C264" s="82" t="n"/>
      <c r="D264" s="81" t="n"/>
      <c r="E264" s="80" t="n"/>
      <c r="F264" s="81" t="n"/>
      <c r="G264" s="81" t="n"/>
      <c r="H264" s="81" t="n"/>
      <c r="I264" s="81" t="n"/>
      <c r="J264" s="82" t="n"/>
      <c r="K264" s="80" t="n"/>
      <c r="L264" s="79">
        <f>IF(NOT(ISNUMBER(C264)),"",IF(ISNUMBER(N264),N264-C264,TODAY()-C264))</f>
        <v/>
      </c>
      <c r="M264" s="81" t="n"/>
      <c r="N264" s="82" t="n"/>
      <c r="O264" s="84">
        <f>IF(OR(M264="",P264=""),"",IF(EXACT(TRIM(M264),TRIM(P264)),"SELF-VERIFIED",""))</f>
        <v/>
      </c>
      <c r="P264" s="80" t="n"/>
      <c r="Q264" s="79">
        <f>IF(AND(K264="open",ISNUMBER(L264)),L264,"")</f>
        <v/>
      </c>
    </row>
    <row r="265" ht="33.75" customHeight="1" s="38">
      <c r="A265" s="75" t="n"/>
      <c r="B265" s="75" t="n"/>
      <c r="C265" s="77" t="n"/>
      <c r="D265" s="76" t="n"/>
      <c r="E265" s="75" t="n"/>
      <c r="F265" s="76" t="n"/>
      <c r="G265" s="76" t="n"/>
      <c r="H265" s="76" t="n"/>
      <c r="I265" s="76" t="n"/>
      <c r="J265" s="77" t="n"/>
      <c r="K265" s="75" t="n"/>
      <c r="L265" s="79">
        <f>IF(NOT(ISNUMBER(C265)),"",IF(ISNUMBER(N265),N265-C265,TODAY()-C265))</f>
        <v/>
      </c>
      <c r="M265" s="76" t="n"/>
      <c r="N265" s="77" t="n"/>
      <c r="O265" s="84">
        <f>IF(OR(M265="",P265=""),"",IF(EXACT(TRIM(M265),TRIM(P265)),"SELF-VERIFIED",""))</f>
        <v/>
      </c>
      <c r="P265" s="75" t="n"/>
      <c r="Q265" s="79">
        <f>IF(AND(K265="open",ISNUMBER(L265)),L265,"")</f>
        <v/>
      </c>
    </row>
    <row r="266" ht="33.75" customHeight="1" s="38">
      <c r="A266" s="80" t="n"/>
      <c r="B266" s="80" t="n"/>
      <c r="C266" s="82" t="n"/>
      <c r="D266" s="81" t="n"/>
      <c r="E266" s="80" t="n"/>
      <c r="F266" s="81" t="n"/>
      <c r="G266" s="81" t="n"/>
      <c r="H266" s="81" t="n"/>
      <c r="I266" s="81" t="n"/>
      <c r="J266" s="82" t="n"/>
      <c r="K266" s="80" t="n"/>
      <c r="L266" s="79">
        <f>IF(NOT(ISNUMBER(C266)),"",IF(ISNUMBER(N266),N266-C266,TODAY()-C266))</f>
        <v/>
      </c>
      <c r="M266" s="81" t="n"/>
      <c r="N266" s="82" t="n"/>
      <c r="O266" s="84">
        <f>IF(OR(M266="",P266=""),"",IF(EXACT(TRIM(M266),TRIM(P266)),"SELF-VERIFIED",""))</f>
        <v/>
      </c>
      <c r="P266" s="80" t="n"/>
      <c r="Q266" s="79">
        <f>IF(AND(K266="open",ISNUMBER(L266)),L266,"")</f>
        <v/>
      </c>
    </row>
    <row r="267" ht="33.75" customHeight="1" s="38">
      <c r="A267" s="75" t="n"/>
      <c r="B267" s="75" t="n"/>
      <c r="C267" s="77" t="n"/>
      <c r="D267" s="76" t="n"/>
      <c r="E267" s="75" t="n"/>
      <c r="F267" s="76" t="n"/>
      <c r="G267" s="76" t="n"/>
      <c r="H267" s="76" t="n"/>
      <c r="I267" s="76" t="n"/>
      <c r="J267" s="77" t="n"/>
      <c r="K267" s="75" t="n"/>
      <c r="L267" s="79">
        <f>IF(NOT(ISNUMBER(C267)),"",IF(ISNUMBER(N267),N267-C267,TODAY()-C267))</f>
        <v/>
      </c>
      <c r="M267" s="76" t="n"/>
      <c r="N267" s="77" t="n"/>
      <c r="O267" s="84">
        <f>IF(OR(M267="",P267=""),"",IF(EXACT(TRIM(M267),TRIM(P267)),"SELF-VERIFIED",""))</f>
        <v/>
      </c>
      <c r="P267" s="75" t="n"/>
      <c r="Q267" s="79">
        <f>IF(AND(K267="open",ISNUMBER(L267)),L267,"")</f>
        <v/>
      </c>
    </row>
    <row r="268" ht="33.75" customHeight="1" s="38">
      <c r="A268" s="80" t="n"/>
      <c r="B268" s="80" t="n"/>
      <c r="C268" s="82" t="n"/>
      <c r="D268" s="81" t="n"/>
      <c r="E268" s="80" t="n"/>
      <c r="F268" s="81" t="n"/>
      <c r="G268" s="81" t="n"/>
      <c r="H268" s="81" t="n"/>
      <c r="I268" s="81" t="n"/>
      <c r="J268" s="82" t="n"/>
      <c r="K268" s="80" t="n"/>
      <c r="L268" s="79">
        <f>IF(NOT(ISNUMBER(C268)),"",IF(ISNUMBER(N268),N268-C268,TODAY()-C268))</f>
        <v/>
      </c>
      <c r="M268" s="81" t="n"/>
      <c r="N268" s="82" t="n"/>
      <c r="O268" s="84">
        <f>IF(OR(M268="",P268=""),"",IF(EXACT(TRIM(M268),TRIM(P268)),"SELF-VERIFIED",""))</f>
        <v/>
      </c>
      <c r="P268" s="80" t="n"/>
      <c r="Q268" s="79">
        <f>IF(AND(K268="open",ISNUMBER(L268)),L268,"")</f>
        <v/>
      </c>
    </row>
    <row r="269" ht="33.75" customHeight="1" s="38">
      <c r="A269" s="75" t="n"/>
      <c r="B269" s="75" t="n"/>
      <c r="C269" s="77" t="n"/>
      <c r="D269" s="76" t="n"/>
      <c r="E269" s="75" t="n"/>
      <c r="F269" s="76" t="n"/>
      <c r="G269" s="76" t="n"/>
      <c r="H269" s="76" t="n"/>
      <c r="I269" s="76" t="n"/>
      <c r="J269" s="77" t="n"/>
      <c r="K269" s="75" t="n"/>
      <c r="L269" s="79">
        <f>IF(NOT(ISNUMBER(C269)),"",IF(ISNUMBER(N269),N269-C269,TODAY()-C269))</f>
        <v/>
      </c>
      <c r="M269" s="76" t="n"/>
      <c r="N269" s="77" t="n"/>
      <c r="O269" s="84">
        <f>IF(OR(M269="",P269=""),"",IF(EXACT(TRIM(M269),TRIM(P269)),"SELF-VERIFIED",""))</f>
        <v/>
      </c>
      <c r="P269" s="75" t="n"/>
      <c r="Q269" s="79">
        <f>IF(AND(K269="open",ISNUMBER(L269)),L269,"")</f>
        <v/>
      </c>
    </row>
    <row r="270" ht="33.75" customHeight="1" s="38">
      <c r="A270" s="80" t="n"/>
      <c r="B270" s="80" t="n"/>
      <c r="C270" s="82" t="n"/>
      <c r="D270" s="81" t="n"/>
      <c r="E270" s="80" t="n"/>
      <c r="F270" s="81" t="n"/>
      <c r="G270" s="81" t="n"/>
      <c r="H270" s="81" t="n"/>
      <c r="I270" s="81" t="n"/>
      <c r="J270" s="82" t="n"/>
      <c r="K270" s="80" t="n"/>
      <c r="L270" s="79">
        <f>IF(NOT(ISNUMBER(C270)),"",IF(ISNUMBER(N270),N270-C270,TODAY()-C270))</f>
        <v/>
      </c>
      <c r="M270" s="81" t="n"/>
      <c r="N270" s="82" t="n"/>
      <c r="O270" s="84">
        <f>IF(OR(M270="",P270=""),"",IF(EXACT(TRIM(M270),TRIM(P270)),"SELF-VERIFIED",""))</f>
        <v/>
      </c>
      <c r="P270" s="80" t="n"/>
      <c r="Q270" s="79">
        <f>IF(AND(K270="open",ISNUMBER(L270)),L270,"")</f>
        <v/>
      </c>
    </row>
    <row r="271" ht="33.75" customHeight="1" s="38">
      <c r="A271" s="75" t="n"/>
      <c r="B271" s="75" t="n"/>
      <c r="C271" s="77" t="n"/>
      <c r="D271" s="76" t="n"/>
      <c r="E271" s="75" t="n"/>
      <c r="F271" s="76" t="n"/>
      <c r="G271" s="76" t="n"/>
      <c r="H271" s="76" t="n"/>
      <c r="I271" s="76" t="n"/>
      <c r="J271" s="77" t="n"/>
      <c r="K271" s="75" t="n"/>
      <c r="L271" s="79">
        <f>IF(NOT(ISNUMBER(C271)),"",IF(ISNUMBER(N271),N271-C271,TODAY()-C271))</f>
        <v/>
      </c>
      <c r="M271" s="76" t="n"/>
      <c r="N271" s="77" t="n"/>
      <c r="O271" s="84">
        <f>IF(OR(M271="",P271=""),"",IF(EXACT(TRIM(M271),TRIM(P271)),"SELF-VERIFIED",""))</f>
        <v/>
      </c>
      <c r="P271" s="75" t="n"/>
      <c r="Q271" s="79">
        <f>IF(AND(K271="open",ISNUMBER(L271)),L271,"")</f>
        <v/>
      </c>
    </row>
    <row r="272" ht="33.75" customHeight="1" s="38">
      <c r="A272" s="80" t="n"/>
      <c r="B272" s="80" t="n"/>
      <c r="C272" s="82" t="n"/>
      <c r="D272" s="81" t="n"/>
      <c r="E272" s="80" t="n"/>
      <c r="F272" s="81" t="n"/>
      <c r="G272" s="81" t="n"/>
      <c r="H272" s="81" t="n"/>
      <c r="I272" s="81" t="n"/>
      <c r="J272" s="82" t="n"/>
      <c r="K272" s="80" t="n"/>
      <c r="L272" s="79">
        <f>IF(NOT(ISNUMBER(C272)),"",IF(ISNUMBER(N272),N272-C272,TODAY()-C272))</f>
        <v/>
      </c>
      <c r="M272" s="81" t="n"/>
      <c r="N272" s="82" t="n"/>
      <c r="O272" s="84">
        <f>IF(OR(M272="",P272=""),"",IF(EXACT(TRIM(M272),TRIM(P272)),"SELF-VERIFIED",""))</f>
        <v/>
      </c>
      <c r="P272" s="80" t="n"/>
      <c r="Q272" s="79">
        <f>IF(AND(K272="open",ISNUMBER(L272)),L272,"")</f>
        <v/>
      </c>
    </row>
    <row r="273" ht="33.75" customHeight="1" s="38">
      <c r="A273" s="75" t="n"/>
      <c r="B273" s="75" t="n"/>
      <c r="C273" s="77" t="n"/>
      <c r="D273" s="76" t="n"/>
      <c r="E273" s="75" t="n"/>
      <c r="F273" s="76" t="n"/>
      <c r="G273" s="76" t="n"/>
      <c r="H273" s="76" t="n"/>
      <c r="I273" s="76" t="n"/>
      <c r="J273" s="77" t="n"/>
      <c r="K273" s="75" t="n"/>
      <c r="L273" s="79">
        <f>IF(NOT(ISNUMBER(C273)),"",IF(ISNUMBER(N273),N273-C273,TODAY()-C273))</f>
        <v/>
      </c>
      <c r="M273" s="76" t="n"/>
      <c r="N273" s="77" t="n"/>
      <c r="O273" s="84">
        <f>IF(OR(M273="",P273=""),"",IF(EXACT(TRIM(M273),TRIM(P273)),"SELF-VERIFIED",""))</f>
        <v/>
      </c>
      <c r="P273" s="75" t="n"/>
      <c r="Q273" s="79">
        <f>IF(AND(K273="open",ISNUMBER(L273)),L273,"")</f>
        <v/>
      </c>
    </row>
    <row r="274" ht="33.75" customHeight="1" s="38">
      <c r="A274" s="80" t="n"/>
      <c r="B274" s="80" t="n"/>
      <c r="C274" s="82" t="n"/>
      <c r="D274" s="81" t="n"/>
      <c r="E274" s="80" t="n"/>
      <c r="F274" s="81" t="n"/>
      <c r="G274" s="81" t="n"/>
      <c r="H274" s="81" t="n"/>
      <c r="I274" s="81" t="n"/>
      <c r="J274" s="82" t="n"/>
      <c r="K274" s="80" t="n"/>
      <c r="L274" s="79">
        <f>IF(NOT(ISNUMBER(C274)),"",IF(ISNUMBER(N274),N274-C274,TODAY()-C274))</f>
        <v/>
      </c>
      <c r="M274" s="81" t="n"/>
      <c r="N274" s="82" t="n"/>
      <c r="O274" s="84">
        <f>IF(OR(M274="",P274=""),"",IF(EXACT(TRIM(M274),TRIM(P274)),"SELF-VERIFIED",""))</f>
        <v/>
      </c>
      <c r="P274" s="80" t="n"/>
      <c r="Q274" s="79">
        <f>IF(AND(K274="open",ISNUMBER(L274)),L274,"")</f>
        <v/>
      </c>
    </row>
    <row r="275" ht="33.75" customHeight="1" s="38">
      <c r="A275" s="75" t="n"/>
      <c r="B275" s="75" t="n"/>
      <c r="C275" s="77" t="n"/>
      <c r="D275" s="76" t="n"/>
      <c r="E275" s="75" t="n"/>
      <c r="F275" s="76" t="n"/>
      <c r="G275" s="76" t="n"/>
      <c r="H275" s="76" t="n"/>
      <c r="I275" s="76" t="n"/>
      <c r="J275" s="77" t="n"/>
      <c r="K275" s="75" t="n"/>
      <c r="L275" s="79">
        <f>IF(NOT(ISNUMBER(C275)),"",IF(ISNUMBER(N275),N275-C275,TODAY()-C275))</f>
        <v/>
      </c>
      <c r="M275" s="76" t="n"/>
      <c r="N275" s="77" t="n"/>
      <c r="O275" s="84">
        <f>IF(OR(M275="",P275=""),"",IF(EXACT(TRIM(M275),TRIM(P275)),"SELF-VERIFIED",""))</f>
        <v/>
      </c>
      <c r="P275" s="75" t="n"/>
      <c r="Q275" s="79">
        <f>IF(AND(K275="open",ISNUMBER(L275)),L275,"")</f>
        <v/>
      </c>
    </row>
    <row r="276" ht="33.75" customHeight="1" s="38">
      <c r="A276" s="80" t="n"/>
      <c r="B276" s="80" t="n"/>
      <c r="C276" s="82" t="n"/>
      <c r="D276" s="81" t="n"/>
      <c r="E276" s="80" t="n"/>
      <c r="F276" s="81" t="n"/>
      <c r="G276" s="81" t="n"/>
      <c r="H276" s="81" t="n"/>
      <c r="I276" s="81" t="n"/>
      <c r="J276" s="82" t="n"/>
      <c r="K276" s="80" t="n"/>
      <c r="L276" s="79">
        <f>IF(NOT(ISNUMBER(C276)),"",IF(ISNUMBER(N276),N276-C276,TODAY()-C276))</f>
        <v/>
      </c>
      <c r="M276" s="81" t="n"/>
      <c r="N276" s="82" t="n"/>
      <c r="O276" s="84">
        <f>IF(OR(M276="",P276=""),"",IF(EXACT(TRIM(M276),TRIM(P276)),"SELF-VERIFIED",""))</f>
        <v/>
      </c>
      <c r="P276" s="80" t="n"/>
      <c r="Q276" s="79">
        <f>IF(AND(K276="open",ISNUMBER(L276)),L276,"")</f>
        <v/>
      </c>
    </row>
    <row r="277" ht="33.75" customHeight="1" s="38">
      <c r="A277" s="75" t="n"/>
      <c r="B277" s="75" t="n"/>
      <c r="C277" s="77" t="n"/>
      <c r="D277" s="76" t="n"/>
      <c r="E277" s="75" t="n"/>
      <c r="F277" s="76" t="n"/>
      <c r="G277" s="76" t="n"/>
      <c r="H277" s="76" t="n"/>
      <c r="I277" s="76" t="n"/>
      <c r="J277" s="77" t="n"/>
      <c r="K277" s="75" t="n"/>
      <c r="L277" s="79">
        <f>IF(NOT(ISNUMBER(C277)),"",IF(ISNUMBER(N277),N277-C277,TODAY()-C277))</f>
        <v/>
      </c>
      <c r="M277" s="76" t="n"/>
      <c r="N277" s="77" t="n"/>
      <c r="O277" s="84">
        <f>IF(OR(M277="",P277=""),"",IF(EXACT(TRIM(M277),TRIM(P277)),"SELF-VERIFIED",""))</f>
        <v/>
      </c>
      <c r="P277" s="75" t="n"/>
      <c r="Q277" s="79">
        <f>IF(AND(K277="open",ISNUMBER(L277)),L277,"")</f>
        <v/>
      </c>
    </row>
    <row r="278" ht="33.75" customHeight="1" s="38">
      <c r="A278" s="80" t="n"/>
      <c r="B278" s="80" t="n"/>
      <c r="C278" s="82" t="n"/>
      <c r="D278" s="81" t="n"/>
      <c r="E278" s="80" t="n"/>
      <c r="F278" s="81" t="n"/>
      <c r="G278" s="81" t="n"/>
      <c r="H278" s="81" t="n"/>
      <c r="I278" s="81" t="n"/>
      <c r="J278" s="82" t="n"/>
      <c r="K278" s="80" t="n"/>
      <c r="L278" s="79">
        <f>IF(NOT(ISNUMBER(C278)),"",IF(ISNUMBER(N278),N278-C278,TODAY()-C278))</f>
        <v/>
      </c>
      <c r="M278" s="81" t="n"/>
      <c r="N278" s="82" t="n"/>
      <c r="O278" s="84">
        <f>IF(OR(M278="",P278=""),"",IF(EXACT(TRIM(M278),TRIM(P278)),"SELF-VERIFIED",""))</f>
        <v/>
      </c>
      <c r="P278" s="80" t="n"/>
      <c r="Q278" s="79">
        <f>IF(AND(K278="open",ISNUMBER(L278)),L278,"")</f>
        <v/>
      </c>
    </row>
    <row r="279" ht="33.75" customHeight="1" s="38">
      <c r="A279" s="75" t="n"/>
      <c r="B279" s="75" t="n"/>
      <c r="C279" s="77" t="n"/>
      <c r="D279" s="76" t="n"/>
      <c r="E279" s="75" t="n"/>
      <c r="F279" s="76" t="n"/>
      <c r="G279" s="76" t="n"/>
      <c r="H279" s="76" t="n"/>
      <c r="I279" s="76" t="n"/>
      <c r="J279" s="77" t="n"/>
      <c r="K279" s="75" t="n"/>
      <c r="L279" s="79">
        <f>IF(NOT(ISNUMBER(C279)),"",IF(ISNUMBER(N279),N279-C279,TODAY()-C279))</f>
        <v/>
      </c>
      <c r="M279" s="76" t="n"/>
      <c r="N279" s="77" t="n"/>
      <c r="O279" s="84">
        <f>IF(OR(M279="",P279=""),"",IF(EXACT(TRIM(M279),TRIM(P279)),"SELF-VERIFIED",""))</f>
        <v/>
      </c>
      <c r="P279" s="75" t="n"/>
      <c r="Q279" s="79">
        <f>IF(AND(K279="open",ISNUMBER(L279)),L279,"")</f>
        <v/>
      </c>
    </row>
    <row r="280" ht="33.75" customHeight="1" s="38">
      <c r="A280" s="80" t="n"/>
      <c r="B280" s="80" t="n"/>
      <c r="C280" s="82" t="n"/>
      <c r="D280" s="81" t="n"/>
      <c r="E280" s="80" t="n"/>
      <c r="F280" s="81" t="n"/>
      <c r="G280" s="81" t="n"/>
      <c r="H280" s="81" t="n"/>
      <c r="I280" s="81" t="n"/>
      <c r="J280" s="82" t="n"/>
      <c r="K280" s="80" t="n"/>
      <c r="L280" s="79">
        <f>IF(NOT(ISNUMBER(C280)),"",IF(ISNUMBER(N280),N280-C280,TODAY()-C280))</f>
        <v/>
      </c>
      <c r="M280" s="81" t="n"/>
      <c r="N280" s="82" t="n"/>
      <c r="O280" s="84">
        <f>IF(OR(M280="",P280=""),"",IF(EXACT(TRIM(M280),TRIM(P280)),"SELF-VERIFIED",""))</f>
        <v/>
      </c>
      <c r="P280" s="80" t="n"/>
      <c r="Q280" s="79">
        <f>IF(AND(K280="open",ISNUMBER(L280)),L280,"")</f>
        <v/>
      </c>
    </row>
    <row r="281" ht="33.75" customHeight="1" s="38">
      <c r="A281" s="75" t="n"/>
      <c r="B281" s="75" t="n"/>
      <c r="C281" s="77" t="n"/>
      <c r="D281" s="76" t="n"/>
      <c r="E281" s="75" t="n"/>
      <c r="F281" s="76" t="n"/>
      <c r="G281" s="76" t="n"/>
      <c r="H281" s="76" t="n"/>
      <c r="I281" s="76" t="n"/>
      <c r="J281" s="77" t="n"/>
      <c r="K281" s="75" t="n"/>
      <c r="L281" s="79">
        <f>IF(NOT(ISNUMBER(C281)),"",IF(ISNUMBER(N281),N281-C281,TODAY()-C281))</f>
        <v/>
      </c>
      <c r="M281" s="76" t="n"/>
      <c r="N281" s="77" t="n"/>
      <c r="O281" s="84">
        <f>IF(OR(M281="",P281=""),"",IF(EXACT(TRIM(M281),TRIM(P281)),"SELF-VERIFIED",""))</f>
        <v/>
      </c>
      <c r="P281" s="75" t="n"/>
      <c r="Q281" s="79">
        <f>IF(AND(K281="open",ISNUMBER(L281)),L281,"")</f>
        <v/>
      </c>
    </row>
    <row r="282" ht="33.75" customHeight="1" s="38">
      <c r="A282" s="80" t="n"/>
      <c r="B282" s="80" t="n"/>
      <c r="C282" s="82" t="n"/>
      <c r="D282" s="81" t="n"/>
      <c r="E282" s="80" t="n"/>
      <c r="F282" s="81" t="n"/>
      <c r="G282" s="81" t="n"/>
      <c r="H282" s="81" t="n"/>
      <c r="I282" s="81" t="n"/>
      <c r="J282" s="82" t="n"/>
      <c r="K282" s="80" t="n"/>
      <c r="L282" s="79">
        <f>IF(NOT(ISNUMBER(C282)),"",IF(ISNUMBER(N282),N282-C282,TODAY()-C282))</f>
        <v/>
      </c>
      <c r="M282" s="81" t="n"/>
      <c r="N282" s="82" t="n"/>
      <c r="O282" s="84">
        <f>IF(OR(M282="",P282=""),"",IF(EXACT(TRIM(M282),TRIM(P282)),"SELF-VERIFIED",""))</f>
        <v/>
      </c>
      <c r="P282" s="80" t="n"/>
      <c r="Q282" s="79">
        <f>IF(AND(K282="open",ISNUMBER(L282)),L282,"")</f>
        <v/>
      </c>
    </row>
    <row r="283" ht="33.75" customHeight="1" s="38">
      <c r="A283" s="75" t="n"/>
      <c r="B283" s="75" t="n"/>
      <c r="C283" s="77" t="n"/>
      <c r="D283" s="76" t="n"/>
      <c r="E283" s="75" t="n"/>
      <c r="F283" s="76" t="n"/>
      <c r="G283" s="76" t="n"/>
      <c r="H283" s="76" t="n"/>
      <c r="I283" s="76" t="n"/>
      <c r="J283" s="77" t="n"/>
      <c r="K283" s="75" t="n"/>
      <c r="L283" s="79">
        <f>IF(NOT(ISNUMBER(C283)),"",IF(ISNUMBER(N283),N283-C283,TODAY()-C283))</f>
        <v/>
      </c>
      <c r="M283" s="76" t="n"/>
      <c r="N283" s="77" t="n"/>
      <c r="O283" s="84">
        <f>IF(OR(M283="",P283=""),"",IF(EXACT(TRIM(M283),TRIM(P283)),"SELF-VERIFIED",""))</f>
        <v/>
      </c>
      <c r="P283" s="75" t="n"/>
      <c r="Q283" s="79">
        <f>IF(AND(K283="open",ISNUMBER(L283)),L283,"")</f>
        <v/>
      </c>
    </row>
    <row r="284" ht="33.75" customHeight="1" s="38">
      <c r="A284" s="80" t="n"/>
      <c r="B284" s="80" t="n"/>
      <c r="C284" s="82" t="n"/>
      <c r="D284" s="81" t="n"/>
      <c r="E284" s="80" t="n"/>
      <c r="F284" s="81" t="n"/>
      <c r="G284" s="81" t="n"/>
      <c r="H284" s="81" t="n"/>
      <c r="I284" s="81" t="n"/>
      <c r="J284" s="82" t="n"/>
      <c r="K284" s="80" t="n"/>
      <c r="L284" s="79">
        <f>IF(NOT(ISNUMBER(C284)),"",IF(ISNUMBER(N284),N284-C284,TODAY()-C284))</f>
        <v/>
      </c>
      <c r="M284" s="81" t="n"/>
      <c r="N284" s="82" t="n"/>
      <c r="O284" s="84">
        <f>IF(OR(M284="",P284=""),"",IF(EXACT(TRIM(M284),TRIM(P284)),"SELF-VERIFIED",""))</f>
        <v/>
      </c>
      <c r="P284" s="80" t="n"/>
      <c r="Q284" s="79">
        <f>IF(AND(K284="open",ISNUMBER(L284)),L284,"")</f>
        <v/>
      </c>
    </row>
    <row r="285" ht="33.75" customHeight="1" s="38">
      <c r="A285" s="75" t="n"/>
      <c r="B285" s="75" t="n"/>
      <c r="C285" s="77" t="n"/>
      <c r="D285" s="76" t="n"/>
      <c r="E285" s="75" t="n"/>
      <c r="F285" s="76" t="n"/>
      <c r="G285" s="76" t="n"/>
      <c r="H285" s="76" t="n"/>
      <c r="I285" s="76" t="n"/>
      <c r="J285" s="77" t="n"/>
      <c r="K285" s="75" t="n"/>
      <c r="L285" s="79">
        <f>IF(NOT(ISNUMBER(C285)),"",IF(ISNUMBER(N285),N285-C285,TODAY()-C285))</f>
        <v/>
      </c>
      <c r="M285" s="76" t="n"/>
      <c r="N285" s="77" t="n"/>
      <c r="O285" s="84">
        <f>IF(OR(M285="",P285=""),"",IF(EXACT(TRIM(M285),TRIM(P285)),"SELF-VERIFIED",""))</f>
        <v/>
      </c>
      <c r="P285" s="75" t="n"/>
      <c r="Q285" s="79">
        <f>IF(AND(K285="open",ISNUMBER(L285)),L285,"")</f>
        <v/>
      </c>
    </row>
    <row r="286" ht="33.75" customHeight="1" s="38">
      <c r="A286" s="80" t="n"/>
      <c r="B286" s="80" t="n"/>
      <c r="C286" s="82" t="n"/>
      <c r="D286" s="81" t="n"/>
      <c r="E286" s="80" t="n"/>
      <c r="F286" s="81" t="n"/>
      <c r="G286" s="81" t="n"/>
      <c r="H286" s="81" t="n"/>
      <c r="I286" s="81" t="n"/>
      <c r="J286" s="82" t="n"/>
      <c r="K286" s="80" t="n"/>
      <c r="L286" s="79">
        <f>IF(NOT(ISNUMBER(C286)),"",IF(ISNUMBER(N286),N286-C286,TODAY()-C286))</f>
        <v/>
      </c>
      <c r="M286" s="81" t="n"/>
      <c r="N286" s="82" t="n"/>
      <c r="O286" s="84">
        <f>IF(OR(M286="",P286=""),"",IF(EXACT(TRIM(M286),TRIM(P286)),"SELF-VERIFIED",""))</f>
        <v/>
      </c>
      <c r="P286" s="80" t="n"/>
      <c r="Q286" s="79">
        <f>IF(AND(K286="open",ISNUMBER(L286)),L286,"")</f>
        <v/>
      </c>
    </row>
    <row r="287" ht="33.75" customHeight="1" s="38">
      <c r="A287" s="75" t="n"/>
      <c r="B287" s="75" t="n"/>
      <c r="C287" s="77" t="n"/>
      <c r="D287" s="76" t="n"/>
      <c r="E287" s="75" t="n"/>
      <c r="F287" s="76" t="n"/>
      <c r="G287" s="76" t="n"/>
      <c r="H287" s="76" t="n"/>
      <c r="I287" s="76" t="n"/>
      <c r="J287" s="77" t="n"/>
      <c r="K287" s="75" t="n"/>
      <c r="L287" s="79">
        <f>IF(NOT(ISNUMBER(C287)),"",IF(ISNUMBER(N287),N287-C287,TODAY()-C287))</f>
        <v/>
      </c>
      <c r="M287" s="76" t="n"/>
      <c r="N287" s="77" t="n"/>
      <c r="O287" s="84">
        <f>IF(OR(M287="",P287=""),"",IF(EXACT(TRIM(M287),TRIM(P287)),"SELF-VERIFIED",""))</f>
        <v/>
      </c>
      <c r="P287" s="75" t="n"/>
      <c r="Q287" s="79">
        <f>IF(AND(K287="open",ISNUMBER(L287)),L287,"")</f>
        <v/>
      </c>
    </row>
    <row r="288" ht="33.75" customHeight="1" s="38">
      <c r="A288" s="80" t="n"/>
      <c r="B288" s="80" t="n"/>
      <c r="C288" s="82" t="n"/>
      <c r="D288" s="81" t="n"/>
      <c r="E288" s="80" t="n"/>
      <c r="F288" s="81" t="n"/>
      <c r="G288" s="81" t="n"/>
      <c r="H288" s="81" t="n"/>
      <c r="I288" s="81" t="n"/>
      <c r="J288" s="82" t="n"/>
      <c r="K288" s="80" t="n"/>
      <c r="L288" s="79">
        <f>IF(NOT(ISNUMBER(C288)),"",IF(ISNUMBER(N288),N288-C288,TODAY()-C288))</f>
        <v/>
      </c>
      <c r="M288" s="81" t="n"/>
      <c r="N288" s="82" t="n"/>
      <c r="O288" s="84">
        <f>IF(OR(M288="",P288=""),"",IF(EXACT(TRIM(M288),TRIM(P288)),"SELF-VERIFIED",""))</f>
        <v/>
      </c>
      <c r="P288" s="80" t="n"/>
      <c r="Q288" s="79">
        <f>IF(AND(K288="open",ISNUMBER(L288)),L288,"")</f>
        <v/>
      </c>
    </row>
    <row r="289" ht="33.75" customHeight="1" s="38">
      <c r="A289" s="75" t="n"/>
      <c r="B289" s="75" t="n"/>
      <c r="C289" s="77" t="n"/>
      <c r="D289" s="76" t="n"/>
      <c r="E289" s="75" t="n"/>
      <c r="F289" s="76" t="n"/>
      <c r="G289" s="76" t="n"/>
      <c r="H289" s="76" t="n"/>
      <c r="I289" s="76" t="n"/>
      <c r="J289" s="77" t="n"/>
      <c r="K289" s="75" t="n"/>
      <c r="L289" s="79">
        <f>IF(NOT(ISNUMBER(C289)),"",IF(ISNUMBER(N289),N289-C289,TODAY()-C289))</f>
        <v/>
      </c>
      <c r="M289" s="76" t="n"/>
      <c r="N289" s="77" t="n"/>
      <c r="O289" s="84">
        <f>IF(OR(M289="",P289=""),"",IF(EXACT(TRIM(M289),TRIM(P289)),"SELF-VERIFIED",""))</f>
        <v/>
      </c>
      <c r="P289" s="75" t="n"/>
      <c r="Q289" s="79">
        <f>IF(AND(K289="open",ISNUMBER(L289)),L289,"")</f>
        <v/>
      </c>
    </row>
    <row r="290" ht="33.75" customHeight="1" s="38">
      <c r="A290" s="80" t="n"/>
      <c r="B290" s="80" t="n"/>
      <c r="C290" s="82" t="n"/>
      <c r="D290" s="81" t="n"/>
      <c r="E290" s="80" t="n"/>
      <c r="F290" s="81" t="n"/>
      <c r="G290" s="81" t="n"/>
      <c r="H290" s="81" t="n"/>
      <c r="I290" s="81" t="n"/>
      <c r="J290" s="82" t="n"/>
      <c r="K290" s="80" t="n"/>
      <c r="L290" s="79">
        <f>IF(NOT(ISNUMBER(C290)),"",IF(ISNUMBER(N290),N290-C290,TODAY()-C290))</f>
        <v/>
      </c>
      <c r="M290" s="81" t="n"/>
      <c r="N290" s="82" t="n"/>
      <c r="O290" s="84">
        <f>IF(OR(M290="",P290=""),"",IF(EXACT(TRIM(M290),TRIM(P290)),"SELF-VERIFIED",""))</f>
        <v/>
      </c>
      <c r="P290" s="80" t="n"/>
      <c r="Q290" s="79">
        <f>IF(AND(K290="open",ISNUMBER(L290)),L290,"")</f>
        <v/>
      </c>
    </row>
    <row r="291" ht="33.75" customHeight="1" s="38">
      <c r="A291" s="75" t="n"/>
      <c r="B291" s="75" t="n"/>
      <c r="C291" s="77" t="n"/>
      <c r="D291" s="76" t="n"/>
      <c r="E291" s="75" t="n"/>
      <c r="F291" s="76" t="n"/>
      <c r="G291" s="76" t="n"/>
      <c r="H291" s="76" t="n"/>
      <c r="I291" s="76" t="n"/>
      <c r="J291" s="77" t="n"/>
      <c r="K291" s="75" t="n"/>
      <c r="L291" s="79">
        <f>IF(NOT(ISNUMBER(C291)),"",IF(ISNUMBER(N291),N291-C291,TODAY()-C291))</f>
        <v/>
      </c>
      <c r="M291" s="76" t="n"/>
      <c r="N291" s="77" t="n"/>
      <c r="O291" s="84">
        <f>IF(OR(M291="",P291=""),"",IF(EXACT(TRIM(M291),TRIM(P291)),"SELF-VERIFIED",""))</f>
        <v/>
      </c>
      <c r="P291" s="75" t="n"/>
      <c r="Q291" s="79">
        <f>IF(AND(K291="open",ISNUMBER(L291)),L291,"")</f>
        <v/>
      </c>
    </row>
    <row r="292" ht="33.75" customHeight="1" s="38">
      <c r="A292" s="80" t="n"/>
      <c r="B292" s="80" t="n"/>
      <c r="C292" s="82" t="n"/>
      <c r="D292" s="81" t="n"/>
      <c r="E292" s="80" t="n"/>
      <c r="F292" s="81" t="n"/>
      <c r="G292" s="81" t="n"/>
      <c r="H292" s="81" t="n"/>
      <c r="I292" s="81" t="n"/>
      <c r="J292" s="82" t="n"/>
      <c r="K292" s="80" t="n"/>
      <c r="L292" s="79">
        <f>IF(NOT(ISNUMBER(C292)),"",IF(ISNUMBER(N292),N292-C292,TODAY()-C292))</f>
        <v/>
      </c>
      <c r="M292" s="81" t="n"/>
      <c r="N292" s="82" t="n"/>
      <c r="O292" s="84">
        <f>IF(OR(M292="",P292=""),"",IF(EXACT(TRIM(M292),TRIM(P292)),"SELF-VERIFIED",""))</f>
        <v/>
      </c>
      <c r="P292" s="80" t="n"/>
      <c r="Q292" s="79">
        <f>IF(AND(K292="open",ISNUMBER(L292)),L292,"")</f>
        <v/>
      </c>
    </row>
    <row r="293" ht="33.75" customHeight="1" s="38">
      <c r="A293" s="75" t="n"/>
      <c r="B293" s="75" t="n"/>
      <c r="C293" s="77" t="n"/>
      <c r="D293" s="76" t="n"/>
      <c r="E293" s="75" t="n"/>
      <c r="F293" s="76" t="n"/>
      <c r="G293" s="76" t="n"/>
      <c r="H293" s="76" t="n"/>
      <c r="I293" s="76" t="n"/>
      <c r="J293" s="77" t="n"/>
      <c r="K293" s="75" t="n"/>
      <c r="L293" s="79">
        <f>IF(NOT(ISNUMBER(C293)),"",IF(ISNUMBER(N293),N293-C293,TODAY()-C293))</f>
        <v/>
      </c>
      <c r="M293" s="76" t="n"/>
      <c r="N293" s="77" t="n"/>
      <c r="O293" s="84">
        <f>IF(OR(M293="",P293=""),"",IF(EXACT(TRIM(M293),TRIM(P293)),"SELF-VERIFIED",""))</f>
        <v/>
      </c>
      <c r="P293" s="75" t="n"/>
      <c r="Q293" s="79">
        <f>IF(AND(K293="open",ISNUMBER(L293)),L293,"")</f>
        <v/>
      </c>
    </row>
    <row r="294" ht="33.75" customHeight="1" s="38">
      <c r="A294" s="80" t="n"/>
      <c r="B294" s="80" t="n"/>
      <c r="C294" s="82" t="n"/>
      <c r="D294" s="81" t="n"/>
      <c r="E294" s="80" t="n"/>
      <c r="F294" s="81" t="n"/>
      <c r="G294" s="81" t="n"/>
      <c r="H294" s="81" t="n"/>
      <c r="I294" s="81" t="n"/>
      <c r="J294" s="82" t="n"/>
      <c r="K294" s="80" t="n"/>
      <c r="L294" s="79">
        <f>IF(NOT(ISNUMBER(C294)),"",IF(ISNUMBER(N294),N294-C294,TODAY()-C294))</f>
        <v/>
      </c>
      <c r="M294" s="81" t="n"/>
      <c r="N294" s="82" t="n"/>
      <c r="O294" s="84">
        <f>IF(OR(M294="",P294=""),"",IF(EXACT(TRIM(M294),TRIM(P294)),"SELF-VERIFIED",""))</f>
        <v/>
      </c>
      <c r="P294" s="80" t="n"/>
      <c r="Q294" s="79">
        <f>IF(AND(K294="open",ISNUMBER(L294)),L294,"")</f>
        <v/>
      </c>
    </row>
    <row r="295" ht="33.75" customHeight="1" s="38">
      <c r="A295" s="75" t="n"/>
      <c r="B295" s="75" t="n"/>
      <c r="C295" s="77" t="n"/>
      <c r="D295" s="76" t="n"/>
      <c r="E295" s="75" t="n"/>
      <c r="F295" s="76" t="n"/>
      <c r="G295" s="76" t="n"/>
      <c r="H295" s="76" t="n"/>
      <c r="I295" s="76" t="n"/>
      <c r="J295" s="77" t="n"/>
      <c r="K295" s="75" t="n"/>
      <c r="L295" s="79">
        <f>IF(NOT(ISNUMBER(C295)),"",IF(ISNUMBER(N295),N295-C295,TODAY()-C295))</f>
        <v/>
      </c>
      <c r="M295" s="76" t="n"/>
      <c r="N295" s="77" t="n"/>
      <c r="O295" s="84">
        <f>IF(OR(M295="",P295=""),"",IF(EXACT(TRIM(M295),TRIM(P295)),"SELF-VERIFIED",""))</f>
        <v/>
      </c>
      <c r="P295" s="75" t="n"/>
      <c r="Q295" s="79">
        <f>IF(AND(K295="open",ISNUMBER(L295)),L295,"")</f>
        <v/>
      </c>
    </row>
    <row r="296" ht="33.75" customHeight="1" s="38">
      <c r="A296" s="80" t="n"/>
      <c r="B296" s="80" t="n"/>
      <c r="C296" s="82" t="n"/>
      <c r="D296" s="81" t="n"/>
      <c r="E296" s="80" t="n"/>
      <c r="F296" s="81" t="n"/>
      <c r="G296" s="81" t="n"/>
      <c r="H296" s="81" t="n"/>
      <c r="I296" s="81" t="n"/>
      <c r="J296" s="82" t="n"/>
      <c r="K296" s="80" t="n"/>
      <c r="L296" s="79">
        <f>IF(NOT(ISNUMBER(C296)),"",IF(ISNUMBER(N296),N296-C296,TODAY()-C296))</f>
        <v/>
      </c>
      <c r="M296" s="81" t="n"/>
      <c r="N296" s="82" t="n"/>
      <c r="O296" s="84">
        <f>IF(OR(M296="",P296=""),"",IF(EXACT(TRIM(M296),TRIM(P296)),"SELF-VERIFIED",""))</f>
        <v/>
      </c>
      <c r="P296" s="80" t="n"/>
      <c r="Q296" s="79">
        <f>IF(AND(K296="open",ISNUMBER(L296)),L296,"")</f>
        <v/>
      </c>
    </row>
    <row r="297" ht="33.75" customHeight="1" s="38">
      <c r="A297" s="75" t="n"/>
      <c r="B297" s="75" t="n"/>
      <c r="C297" s="77" t="n"/>
      <c r="D297" s="76" t="n"/>
      <c r="E297" s="75" t="n"/>
      <c r="F297" s="76" t="n"/>
      <c r="G297" s="76" t="n"/>
      <c r="H297" s="76" t="n"/>
      <c r="I297" s="76" t="n"/>
      <c r="J297" s="77" t="n"/>
      <c r="K297" s="75" t="n"/>
      <c r="L297" s="79">
        <f>IF(NOT(ISNUMBER(C297)),"",IF(ISNUMBER(N297),N297-C297,TODAY()-C297))</f>
        <v/>
      </c>
      <c r="M297" s="76" t="n"/>
      <c r="N297" s="77" t="n"/>
      <c r="O297" s="84">
        <f>IF(OR(M297="",P297=""),"",IF(EXACT(TRIM(M297),TRIM(P297)),"SELF-VERIFIED",""))</f>
        <v/>
      </c>
      <c r="P297" s="75" t="n"/>
      <c r="Q297" s="79">
        <f>IF(AND(K297="open",ISNUMBER(L297)),L297,"")</f>
        <v/>
      </c>
    </row>
    <row r="298" ht="33.75" customHeight="1" s="38">
      <c r="A298" s="80" t="n"/>
      <c r="B298" s="80" t="n"/>
      <c r="C298" s="82" t="n"/>
      <c r="D298" s="81" t="n"/>
      <c r="E298" s="80" t="n"/>
      <c r="F298" s="81" t="n"/>
      <c r="G298" s="81" t="n"/>
      <c r="H298" s="81" t="n"/>
      <c r="I298" s="81" t="n"/>
      <c r="J298" s="82" t="n"/>
      <c r="K298" s="80" t="n"/>
      <c r="L298" s="79">
        <f>IF(NOT(ISNUMBER(C298)),"",IF(ISNUMBER(N298),N298-C298,TODAY()-C298))</f>
        <v/>
      </c>
      <c r="M298" s="81" t="n"/>
      <c r="N298" s="82" t="n"/>
      <c r="O298" s="84">
        <f>IF(OR(M298="",P298=""),"",IF(EXACT(TRIM(M298),TRIM(P298)),"SELF-VERIFIED",""))</f>
        <v/>
      </c>
      <c r="P298" s="80" t="n"/>
      <c r="Q298" s="79">
        <f>IF(AND(K298="open",ISNUMBER(L298)),L298,"")</f>
        <v/>
      </c>
    </row>
    <row r="299" ht="33.75" customHeight="1" s="38">
      <c r="A299" s="75" t="n"/>
      <c r="B299" s="75" t="n"/>
      <c r="C299" s="77" t="n"/>
      <c r="D299" s="76" t="n"/>
      <c r="E299" s="75" t="n"/>
      <c r="F299" s="76" t="n"/>
      <c r="G299" s="76" t="n"/>
      <c r="H299" s="76" t="n"/>
      <c r="I299" s="76" t="n"/>
      <c r="J299" s="77" t="n"/>
      <c r="K299" s="75" t="n"/>
      <c r="L299" s="79">
        <f>IF(NOT(ISNUMBER(C299)),"",IF(ISNUMBER(N299),N299-C299,TODAY()-C299))</f>
        <v/>
      </c>
      <c r="M299" s="76" t="n"/>
      <c r="N299" s="77" t="n"/>
      <c r="O299" s="84">
        <f>IF(OR(M299="",P299=""),"",IF(EXACT(TRIM(M299),TRIM(P299)),"SELF-VERIFIED",""))</f>
        <v/>
      </c>
      <c r="P299" s="75" t="n"/>
      <c r="Q299" s="79">
        <f>IF(AND(K299="open",ISNUMBER(L299)),L299,"")</f>
        <v/>
      </c>
    </row>
    <row r="300" ht="33.75" customHeight="1" s="38">
      <c r="A300" s="80" t="n"/>
      <c r="B300" s="80" t="n"/>
      <c r="C300" s="82" t="n"/>
      <c r="D300" s="81" t="n"/>
      <c r="E300" s="80" t="n"/>
      <c r="F300" s="81" t="n"/>
      <c r="G300" s="81" t="n"/>
      <c r="H300" s="81" t="n"/>
      <c r="I300" s="81" t="n"/>
      <c r="J300" s="82" t="n"/>
      <c r="K300" s="80" t="n"/>
      <c r="L300" s="79">
        <f>IF(NOT(ISNUMBER(C300)),"",IF(ISNUMBER(N300),N300-C300,TODAY()-C300))</f>
        <v/>
      </c>
      <c r="M300" s="81" t="n"/>
      <c r="N300" s="82" t="n"/>
      <c r="O300" s="84">
        <f>IF(OR(M300="",P300=""),"",IF(EXACT(TRIM(M300),TRIM(P300)),"SELF-VERIFIED",""))</f>
        <v/>
      </c>
      <c r="P300" s="80" t="n"/>
      <c r="Q300" s="79">
        <f>IF(AND(K300="open",ISNUMBER(L300)),L300,"")</f>
        <v/>
      </c>
    </row>
    <row r="301" ht="33.75" customHeight="1" s="38">
      <c r="A301" s="75" t="n"/>
      <c r="B301" s="75" t="n"/>
      <c r="C301" s="77" t="n"/>
      <c r="D301" s="76" t="n"/>
      <c r="E301" s="75" t="n"/>
      <c r="F301" s="76" t="n"/>
      <c r="G301" s="76" t="n"/>
      <c r="H301" s="76" t="n"/>
      <c r="I301" s="76" t="n"/>
      <c r="J301" s="77" t="n"/>
      <c r="K301" s="75" t="n"/>
      <c r="L301" s="79">
        <f>IF(NOT(ISNUMBER(C301)),"",IF(ISNUMBER(N301),N301-C301,TODAY()-C301))</f>
        <v/>
      </c>
      <c r="M301" s="76" t="n"/>
      <c r="N301" s="77" t="n"/>
      <c r="O301" s="84">
        <f>IF(OR(M301="",P301=""),"",IF(EXACT(TRIM(M301),TRIM(P301)),"SELF-VERIFIED",""))</f>
        <v/>
      </c>
      <c r="P301" s="75" t="n"/>
      <c r="Q301" s="79">
        <f>IF(AND(K301="open",ISNUMBER(L301)),L301,"")</f>
        <v/>
      </c>
    </row>
    <row r="302" ht="33.75" customHeight="1" s="38">
      <c r="A302" s="80" t="n"/>
      <c r="B302" s="80" t="n"/>
      <c r="C302" s="82" t="n"/>
      <c r="D302" s="81" t="n"/>
      <c r="E302" s="80" t="n"/>
      <c r="F302" s="81" t="n"/>
      <c r="G302" s="81" t="n"/>
      <c r="H302" s="81" t="n"/>
      <c r="I302" s="81" t="n"/>
      <c r="J302" s="82" t="n"/>
      <c r="K302" s="80" t="n"/>
      <c r="L302" s="79">
        <f>IF(NOT(ISNUMBER(C302)),"",IF(ISNUMBER(N302),N302-C302,TODAY()-C302))</f>
        <v/>
      </c>
      <c r="M302" s="81" t="n"/>
      <c r="N302" s="82" t="n"/>
      <c r="O302" s="84">
        <f>IF(OR(M302="",P302=""),"",IF(EXACT(TRIM(M302),TRIM(P302)),"SELF-VERIFIED",""))</f>
        <v/>
      </c>
      <c r="P302" s="80" t="n"/>
      <c r="Q302" s="79">
        <f>IF(AND(K302="open",ISNUMBER(L302)),L302,"")</f>
        <v/>
      </c>
    </row>
    <row r="303" ht="33.75" customHeight="1" s="38">
      <c r="A303" s="75" t="n"/>
      <c r="B303" s="75" t="n"/>
      <c r="C303" s="77" t="n"/>
      <c r="D303" s="76" t="n"/>
      <c r="E303" s="75" t="n"/>
      <c r="F303" s="76" t="n"/>
      <c r="G303" s="76" t="n"/>
      <c r="H303" s="76" t="n"/>
      <c r="I303" s="76" t="n"/>
      <c r="J303" s="77" t="n"/>
      <c r="K303" s="75" t="n"/>
      <c r="L303" s="79">
        <f>IF(NOT(ISNUMBER(C303)),"",IF(ISNUMBER(N303),N303-C303,TODAY()-C303))</f>
        <v/>
      </c>
      <c r="M303" s="76" t="n"/>
      <c r="N303" s="77" t="n"/>
      <c r="O303" s="84">
        <f>IF(OR(M303="",P303=""),"",IF(EXACT(TRIM(M303),TRIM(P303)),"SELF-VERIFIED",""))</f>
        <v/>
      </c>
      <c r="P303" s="75" t="n"/>
      <c r="Q303" s="79">
        <f>IF(AND(K303="open",ISNUMBER(L303)),L303,"")</f>
        <v/>
      </c>
    </row>
    <row r="304" ht="33.75" customHeight="1" s="38">
      <c r="A304" s="80" t="n"/>
      <c r="B304" s="80" t="n"/>
      <c r="C304" s="82" t="n"/>
      <c r="D304" s="81" t="n"/>
      <c r="E304" s="80" t="n"/>
      <c r="F304" s="81" t="n"/>
      <c r="G304" s="81" t="n"/>
      <c r="H304" s="81" t="n"/>
      <c r="I304" s="81" t="n"/>
      <c r="J304" s="82" t="n"/>
      <c r="K304" s="80" t="n"/>
      <c r="L304" s="79">
        <f>IF(NOT(ISNUMBER(C304)),"",IF(ISNUMBER(N304),N304-C304,TODAY()-C304))</f>
        <v/>
      </c>
      <c r="M304" s="81" t="n"/>
      <c r="N304" s="82" t="n"/>
      <c r="O304" s="84">
        <f>IF(OR(M304="",P304=""),"",IF(EXACT(TRIM(M304),TRIM(P304)),"SELF-VERIFIED",""))</f>
        <v/>
      </c>
      <c r="P304" s="80" t="n"/>
      <c r="Q304" s="79">
        <f>IF(AND(K304="open",ISNUMBER(L304)),L304,"")</f>
        <v/>
      </c>
    </row>
  </sheetData>
  <sheetProtection selectLockedCells="0" selectUnlockedCells="0" sheet="1" objects="0" insertRows="1" insertHyperlinks="1" autoFilter="1" scenarios="0" formatColumns="1" deleteColumns="1" insertColumns="1" pivotTables="1" deleteRows="1" formatCells="1" formatRows="1" sort="1"/>
  <autoFilter ref="A4:Q304"/>
  <mergeCells count="2">
    <mergeCell ref="A1:O1"/>
    <mergeCell ref="A2:O2"/>
  </mergeCells>
  <conditionalFormatting sqref="O5:O304">
    <cfRule type="expression" rank="0" priority="2" equalAverage="0" aboveAverage="0" dxfId="8" text="" percent="0" bottom="0">
      <formula>$O5&lt;&gt;""</formula>
    </cfRule>
  </conditionalFormatting>
  <conditionalFormatting sqref="K5:K304">
    <cfRule type="expression" rank="0" priority="3" equalAverage="0" aboveAverage="0" dxfId="6" text="" percent="0" bottom="0">
      <formula>$K5="open"</formula>
    </cfRule>
    <cfRule type="expression" rank="0" priority="4" equalAverage="0" aboveAverage="0" dxfId="7" text="" percent="0" bottom="0">
      <formula>$K5="closed"</formula>
    </cfRule>
  </conditionalFormatting>
  <conditionalFormatting sqref="L5:L304">
    <cfRule type="cellIs" rank="0" priority="5" equalAverage="0" operator="greaterThan" aboveAverage="0" dxfId="8" text="" percent="0" bottom="0">
      <formula>90</formula>
    </cfRule>
    <cfRule type="cellIs" rank="0" priority="6" equalAverage="0" operator="between" aboveAverage="0" dxfId="6" text="" percent="0" bottom="0">
      <formula>31</formula>
      <formula>90</formula>
    </cfRule>
  </conditionalFormatting>
  <dataValidations count="2">
    <dataValidation sqref="E5:E304" showDropDown="0" showInputMessage="0" showErrorMessage="1" allowBlank="1" type="list" errorStyle="stop" operator="between">
      <formula1>"nonconformity,observation"</formula1>
      <formula2>0</formula2>
    </dataValidation>
    <dataValidation sqref="K5:K304" showDropDown="0" showInputMessage="0" showErrorMessage="1" allowBlank="1" type="list" errorStyle="stop" operator="between">
      <formula1>"open,actioned,closed"</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B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68" min="1" max="1"/>
    <col width="70" customWidth="1" style="68" min="2" max="2"/>
  </cols>
  <sheetData>
    <row r="1" ht="25.5" customHeight="1" s="38">
      <c r="A1" s="69" t="inlineStr">
        <is>
          <t>CLOSURE VERIFICATION</t>
        </is>
      </c>
    </row>
    <row r="2" ht="15.75" customHeight="1" s="38">
      <c r="A2" s="70" t="inlineStr">
        <is>
          <t>Completed by somebody other than the person who raised the finding. The auditor confirms; the auditor does not verify.</t>
        </is>
      </c>
    </row>
    <row r="3"/>
    <row r="4" ht="21.75" customHeight="1" s="38">
      <c r="A4" s="83" t="inlineStr">
        <is>
          <t>Finding reference</t>
        </is>
      </c>
      <c r="B4" s="76" t="n"/>
    </row>
    <row r="5" ht="33.75" customHeight="1" s="38">
      <c r="A5" s="83" t="inlineStr">
        <is>
          <t>Correction—what was done to the affected product</t>
        </is>
      </c>
      <c r="B5" s="76" t="n"/>
    </row>
    <row r="6" ht="43.5" customHeight="1" s="38">
      <c r="A6" s="83" t="inlineStr">
        <is>
          <t>Corrective action—what was done to the cause</t>
        </is>
      </c>
      <c r="B6" s="76" t="n"/>
    </row>
    <row r="7" ht="33.75" customHeight="1" s="38">
      <c r="A7" s="83" t="inlineStr">
        <is>
          <t>Hierarchy level (1 eliminate · 2 error-proof · 3 automate · 4 detect · 5 procedure)</t>
        </is>
      </c>
      <c r="B7" s="76" t="n"/>
    </row>
    <row r="8" ht="43.5" customHeight="1" s="38">
      <c r="A8" s="83" t="inlineStr">
        <is>
          <t>How effectiveness will be measured, and over what exposure</t>
        </is>
      </c>
      <c r="B8" s="76" t="n"/>
    </row>
    <row r="9" ht="39.75" customHeight="1" s="38">
      <c r="A9" s="83" t="inlineStr">
        <is>
          <t>Result observed</t>
        </is>
      </c>
      <c r="B9" s="76" t="n"/>
    </row>
    <row r="10" ht="25.5" customHeight="1" s="38">
      <c r="A10" s="83" t="inlineStr">
        <is>
          <t>Verified by (NOT the originator) / date</t>
        </is>
      </c>
      <c r="B10" s="76" t="n"/>
    </row>
    <row r="11" ht="25.5" customHeight="1" s="38">
      <c r="A11" s="83" t="inlineStr">
        <is>
          <t>Auditor confirms the verification / date</t>
        </is>
      </c>
      <c r="B11" s="76" t="n"/>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J6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68" min="1" max="1"/>
    <col width="11" customWidth="1" style="68" min="2" max="10"/>
  </cols>
  <sheetData>
    <row r="1" ht="25.5" customHeight="1" s="38">
      <c r="A1" s="69" t="inlineStr">
        <is>
          <t>AUDIT PROGRAM DASHBOARD</t>
        </is>
      </c>
    </row>
    <row r="2" ht="15.75" customHeight="1" s="38">
      <c r="A2" s="70" t="inlineStr">
        <is>
          <t>Calculated live from the program and the finding register. Nothing on this sheet is typed.</t>
        </is>
      </c>
    </row>
    <row r="3"/>
    <row r="4" ht="18" customHeight="1" s="38">
      <c r="A4" s="85" t="inlineStr">
        <is>
          <t>AUDITS IN PROGRAM</t>
        </is>
      </c>
      <c r="C4" s="86" t="inlineStr">
        <is>
          <t>OVERDUE</t>
        </is>
      </c>
      <c r="E4" s="87" t="inlineStr">
        <is>
          <t>FINDINGS OPEN</t>
        </is>
      </c>
      <c r="G4" s="85" t="inlineStr">
        <is>
          <t>OLDEST OPEN</t>
        </is>
      </c>
      <c r="I4" s="86" t="inlineStr">
        <is>
          <t>SELF-VERIFIED</t>
        </is>
      </c>
    </row>
    <row r="5" ht="21.75" customHeight="1" s="38">
      <c r="A5" s="88">
        <f>COUNTA('Form 1 Audit Program'!A5:A64)</f>
        <v/>
      </c>
      <c r="C5" s="88">
        <f>COUNTIF('Form 1 Audit Program'!G5:G64,"OVERDUE")</f>
        <v/>
      </c>
      <c r="E5" s="88">
        <f>COUNTIF('Form 5 Finding Register'!K5:K304,"open")</f>
        <v/>
      </c>
      <c r="G5" s="88">
        <f>IFERROR(MAX('Form 5 Finding Register'!Q5:Q304),0)</f>
        <v/>
      </c>
      <c r="I5" s="88">
        <f>COUNTIF('Form 5 Finding Register'!O5:O304,"SELF-VERIFIED")</f>
        <v/>
      </c>
    </row>
    <row r="6" ht="13.5" customHeight="1" s="38"/>
    <row r="7" ht="13.5" customHeight="1" s="38">
      <c r="A7" s="89" t="inlineStr">
        <is>
          <t>scheduled</t>
        </is>
      </c>
      <c r="C7" s="89" t="inlineStr">
        <is>
          <t>past next due date</t>
        </is>
      </c>
      <c r="E7" s="89" t="inlineStr">
        <is>
          <t>not yet actioned</t>
        </is>
      </c>
      <c r="G7" s="89" t="inlineStr">
        <is>
          <t>days</t>
        </is>
      </c>
      <c r="I7" s="89" t="inlineStr">
        <is>
          <t>should be zero</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ht="15" customHeight="1" s="38">
      <c r="A42" s="90" t="inlineStr">
        <is>
          <t>Two numbers kill an audit program. The first is the count of overdue audits, because a program that slips once slips permanently. The second is the age of the oldest open finding, because a finding nobody closes teaches the plant that findings do not have to be closed. SELF-VERIFIED should read zero; anything else means somebody marked their own homework.</t>
        </is>
      </c>
    </row>
    <row r="43" ht="15" customHeight="1" s="38"/>
    <row r="44" ht="15" customHeight="1" s="38"/>
    <row r="45"/>
    <row r="46" ht="15" customHeight="1" s="38">
      <c r="A46" s="91" t="inlineStr">
        <is>
          <t>CHART SOURCE DATA—calculated, do not overwrite</t>
        </is>
      </c>
    </row>
    <row r="47" ht="15" customHeight="1" s="38">
      <c r="A47" s="92" t="inlineStr">
        <is>
          <t>Program status</t>
        </is>
      </c>
      <c r="B47" s="92" t="inlineStr">
        <is>
          <t>Audits</t>
        </is>
      </c>
    </row>
    <row r="48" ht="15" customHeight="1" s="38">
      <c r="A48" s="93" t="inlineStr">
        <is>
          <t>OK</t>
        </is>
      </c>
      <c r="B48" s="93">
        <f>COUNTIF('Form 1 Audit Program'!$G$5:$G$64,"OK")</f>
        <v/>
      </c>
    </row>
    <row r="49" ht="15" customHeight="1" s="38">
      <c r="A49" s="93" t="inlineStr">
        <is>
          <t>DUE SOON</t>
        </is>
      </c>
      <c r="B49" s="93">
        <f>COUNTIF('Form 1 Audit Program'!$G$5:$G$64,"DUE SOON")</f>
        <v/>
      </c>
    </row>
    <row r="50" ht="15" customHeight="1" s="38">
      <c r="A50" s="93" t="inlineStr">
        <is>
          <t>OVERDUE</t>
        </is>
      </c>
      <c r="B50" s="93">
        <f>COUNTIF('Form 1 Audit Program'!$G$5:$G$64,"OVERDUE")</f>
        <v/>
      </c>
    </row>
    <row r="51"/>
    <row r="52"/>
    <row r="53" ht="15" customHeight="1" s="38">
      <c r="A53" s="92" t="inlineStr">
        <is>
          <t>Classification</t>
        </is>
      </c>
      <c r="B53" s="92" t="inlineStr">
        <is>
          <t>Findings</t>
        </is>
      </c>
    </row>
    <row r="54" ht="15" customHeight="1" s="38">
      <c r="A54" s="93" t="inlineStr">
        <is>
          <t>Nonconformity</t>
        </is>
      </c>
      <c r="B54" s="93">
        <f>COUNTIF('Form 5 Finding Register'!$E$5:$E$304,"nonconformity")</f>
        <v/>
      </c>
    </row>
    <row r="55" ht="15" customHeight="1" s="38">
      <c r="A55" s="93" t="inlineStr">
        <is>
          <t>Observation</t>
        </is>
      </c>
      <c r="B55" s="93">
        <f>COUNTIF('Form 5 Finding Register'!$E$5:$E$304,"observation")</f>
        <v/>
      </c>
    </row>
    <row r="56"/>
    <row r="57"/>
    <row r="58" ht="15" customHeight="1" s="38">
      <c r="A58" s="92" t="inlineStr">
        <is>
          <t>Age of open findings</t>
        </is>
      </c>
      <c r="B58" s="92" t="inlineStr">
        <is>
          <t>Count</t>
        </is>
      </c>
    </row>
    <row r="59" ht="15" customHeight="1" s="38">
      <c r="A59" s="93" t="inlineStr">
        <is>
          <t>over 90 days</t>
        </is>
      </c>
      <c r="B59" s="93">
        <f>COUNTIFS('Form 5 Finding Register'!$K$5:$K$304,"open",'Form 5 Finding Register'!$L$5:$L$304,"&gt;90")</f>
        <v/>
      </c>
    </row>
    <row r="60" ht="15" customHeight="1" s="38">
      <c r="A60" s="93" t="inlineStr">
        <is>
          <t>61 to 90</t>
        </is>
      </c>
      <c r="B60" s="93">
        <f>COUNTIFS('Form 5 Finding Register'!$K$5:$K$304,"open",'Form 5 Finding Register'!$L$5:$L$304,"&gt;60",'Form 5 Finding Register'!$L$5:$L$304,"&lt;=90")</f>
        <v/>
      </c>
    </row>
    <row r="61" ht="15" customHeight="1" s="38">
      <c r="A61" s="93" t="inlineStr">
        <is>
          <t>31 to 60</t>
        </is>
      </c>
      <c r="B61" s="93">
        <f>COUNTIFS('Form 5 Finding Register'!$K$5:$K$304,"open",'Form 5 Finding Register'!$L$5:$L$304,"&gt;30",'Form 5 Finding Register'!$L$5:$L$304,"&lt;=60")</f>
        <v/>
      </c>
    </row>
    <row r="62" ht="15" customHeight="1" s="38">
      <c r="A62" s="93" t="inlineStr">
        <is>
          <t>30 or fewer</t>
        </is>
      </c>
      <c r="B62" s="93">
        <f>COUNTIFS('Form 5 Finding Register'!$K$5:$K$304,"open",'Form 5 Finding Register'!$L$5:$L$304,"&lt;=30")</f>
        <v/>
      </c>
    </row>
    <row r="63"/>
    <row r="64"/>
    <row r="65" ht="15" customHeight="1" s="38">
      <c r="A65" s="92" t="inlineStr">
        <is>
          <t>Status</t>
        </is>
      </c>
      <c r="B65" s="92" t="inlineStr">
        <is>
          <t>Findings</t>
        </is>
      </c>
    </row>
    <row r="66" ht="15" customHeight="1" s="38">
      <c r="A66" s="93" t="inlineStr">
        <is>
          <t>open</t>
        </is>
      </c>
      <c r="B66" s="93">
        <f>COUNTIF('Form 5 Finding Register'!$K$5:$K$304,"open")</f>
        <v/>
      </c>
    </row>
    <row r="67" ht="15" customHeight="1" s="38">
      <c r="A67" s="93" t="inlineStr">
        <is>
          <t>actioned</t>
        </is>
      </c>
      <c r="B67" s="93">
        <f>COUNTIF('Form 5 Finding Register'!$K$5:$K$304,"actioned")</f>
        <v/>
      </c>
    </row>
    <row r="68" ht="15" customHeight="1" s="38">
      <c r="A68" s="93" t="inlineStr">
        <is>
          <t>closed</t>
        </is>
      </c>
      <c r="B68" s="93">
        <f>COUNTIF('Form 5 Finding Register'!$K$5:$K$304,"closed")</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A42:J44"/>
    <mergeCell ref="C7:D7"/>
    <mergeCell ref="A7:B7"/>
    <mergeCell ref="G7:H7"/>
    <mergeCell ref="E7:F7"/>
    <mergeCell ref="I7:J7"/>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filterMode="0">
    <tabColor rgb="00C9CCD2"/>
    <outlinePr summaryBelow="1" summaryRight="1"/>
    <pageSetUpPr fitToPage="0"/>
  </sheetPr>
  <dimension ref="A1:E11"/>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8" min="1" max="1"/>
    <col width="14" customWidth="1" style="68" min="2" max="2"/>
    <col width="34" customWidth="1" style="68" min="3" max="3"/>
    <col width="38" customWidth="1" style="68" min="4" max="4"/>
    <col width="32" customWidth="1" style="68" min="5" max="5"/>
  </cols>
  <sheetData>
    <row r="1" ht="25.5" customHeight="1" s="38">
      <c r="A1" s="69" t="inlineStr">
        <is>
          <t>EXAMPLE A GOODS-IN</t>
        </is>
      </c>
    </row>
    <row r="2" ht="15.75" customHeight="1" s="38">
      <c r="A2" s="70" t="inlineStr">
        <is>
          <t>Worked audit from Part 2 of the book. Read, do not edit.</t>
        </is>
      </c>
    </row>
    <row r="3"/>
    <row r="4" ht="43.5" customHeight="1" s="38">
      <c r="A4" s="83" t="inlineStr">
        <is>
          <t>Scope</t>
        </is>
      </c>
      <c r="B4" s="94" t="inlineStr">
        <is>
          <t>Receipt of castings, incoming verification, storage, issue to production</t>
        </is>
      </c>
      <c r="C4" s="95" t="n"/>
      <c r="D4" s="95" t="n"/>
      <c r="E4" s="96" t="n"/>
    </row>
    <row r="5" ht="43.5" customHeight="1" s="38">
      <c r="A5" s="83" t="inlineStr">
        <is>
          <t>Why now</t>
        </is>
      </c>
      <c r="B5" s="94" t="inlineStr">
        <is>
          <t>Step 1 carries a severity 9 row in the risk register, and the incoming check is the only barrier between a foundry defect and a machined housing</t>
        </is>
      </c>
      <c r="C5" s="95" t="n"/>
      <c r="D5" s="95" t="n"/>
      <c r="E5" s="96" t="n"/>
    </row>
    <row r="6" ht="43.5" customHeight="1" s="38">
      <c r="A6" s="83" t="inlineStr">
        <is>
          <t>Sample design</t>
        </is>
      </c>
      <c r="B6" s="94" t="inlineStr">
        <is>
          <t>20 goods-in records, five from each of four months, chosen to include the December cover period, the March expedite, the August shutdown and one ordinary month as a control</t>
        </is>
      </c>
      <c r="C6" s="95" t="n"/>
      <c r="D6" s="95" t="n"/>
      <c r="E6" s="96" t="n"/>
    </row>
    <row r="7"/>
    <row r="8" ht="25.5" customHeight="1" s="38">
      <c r="A8" s="74" t="inlineStr">
        <is>
          <t>Ref</t>
        </is>
      </c>
      <c r="B8" s="74" t="inlineStr">
        <is>
          <t>Class</t>
        </is>
      </c>
      <c r="C8" s="74" t="inlineStr">
        <is>
          <t>Requirement</t>
        </is>
      </c>
      <c r="D8" s="74" t="inlineStr">
        <is>
          <t>Evidence</t>
        </is>
      </c>
      <c r="E8" s="74" t="inlineStr">
        <is>
          <t>Gap</t>
        </is>
      </c>
    </row>
    <row r="9" ht="78" customHeight="1" s="38">
      <c r="A9" s="97" t="inlineStr">
        <is>
          <t>F-01</t>
        </is>
      </c>
      <c r="B9" s="98" t="inlineStr">
        <is>
          <t>nonconformity</t>
        </is>
      </c>
      <c r="C9" s="94" t="inlineStr">
        <is>
          <t>WI-0402 rev 4 requires incoming verification by trained personnel, and the quality manual requires training records for personnel performing verification.</t>
        </is>
      </c>
      <c r="D9" s="94" t="inlineStr">
        <is>
          <t>Seven goods-in records between 18 and 31 December carry a signature for which no training record exists. Goods-in was covered by agency personnel in this period.</t>
        </is>
      </c>
      <c r="E9" s="94" t="inlineStr">
        <is>
          <t>Incoming verification was performed by personnel whose competence cannot be demonstrated.</t>
        </is>
      </c>
    </row>
    <row r="10" ht="78" customHeight="1" s="38">
      <c r="A10" s="99" t="inlineStr">
        <is>
          <t>F-02</t>
        </is>
      </c>
      <c r="B10" s="100" t="inlineStr">
        <is>
          <t>nonconformity</t>
        </is>
      </c>
      <c r="C10" s="101" t="inlineStr">
        <is>
          <t>PF-01 rev 3 identifies deburring as step 10; the quality manual requires each identified step to have defined controls and retained evidence of performance.</t>
        </is>
      </c>
      <c r="D10" s="101" t="inlineStr">
        <is>
          <t>Step 10 has no operation number, work instruction or acceptance criterion. In 30 route cards across six months, 7 carried no deburr entry. Two such housings were dispatched on note 8802.</t>
        </is>
      </c>
      <c r="E10" s="101" t="inlineStr">
        <is>
          <t>A step in the process flow is performed without defined controls, and performance cannot be demonstrated for delivered product.</t>
        </is>
      </c>
    </row>
    <row r="11" ht="78" customHeight="1" s="38">
      <c r="A11" s="97" t="inlineStr">
        <is>
          <t>F-03</t>
        </is>
      </c>
      <c r="B11" s="98" t="inlineStr">
        <is>
          <t>observation</t>
        </is>
      </c>
      <c r="C11" s="94" t="inlineStr">
        <is>
          <t>No requirement specifies how the stabilization hold time is determined or recorded.</t>
        </is>
      </c>
      <c r="D11" s="94" t="inlineStr">
        <is>
          <t>Identical hold time recorded on seven route cards covering four separate delivery dates.</t>
        </is>
      </c>
      <c r="E11" s="94" t="inlineStr">
        <is>
          <t>Raised as an observation because there is no requirement to point at. The absence of the requirement is the finding.</t>
        </is>
      </c>
    </row>
  </sheetData>
  <sheetProtection selectLockedCells="0" selectUnlockedCells="0" sheet="1" objects="0" insertRows="1" insertHyperlinks="1" autoFilter="1" scenarios="0" formatColumns="1" deleteColumns="1" insertColumns="1" pivotTables="1" deleteRows="1" formatCells="1" formatRows="1" sort="1"/>
  <mergeCells count="5">
    <mergeCell ref="B4:E4"/>
    <mergeCell ref="A2:E2"/>
    <mergeCell ref="B6:E6"/>
    <mergeCell ref="A1:E1"/>
    <mergeCell ref="B5:E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E10"/>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8" min="1" max="1"/>
    <col width="14" customWidth="1" style="68" min="2" max="2"/>
    <col width="34" customWidth="1" style="68" min="3" max="3"/>
    <col width="38" customWidth="1" style="68" min="4" max="4"/>
    <col width="32" customWidth="1" style="68" min="5" max="5"/>
  </cols>
  <sheetData>
    <row r="1" ht="25.5" customHeight="1" s="38">
      <c r="A1" s="69" t="inlineStr">
        <is>
          <t>EXAMPLE B MACHINING CELL</t>
        </is>
      </c>
    </row>
    <row r="2" ht="15.75" customHeight="1" s="38">
      <c r="A2" s="70" t="inlineStr">
        <is>
          <t>Worked audit from Part 2 of the book. Read, do not edit.</t>
        </is>
      </c>
    </row>
    <row r="3"/>
    <row r="4" ht="43.5" customHeight="1" s="38">
      <c r="A4" s="83" t="inlineStr">
        <is>
          <t>Scope</t>
        </is>
      </c>
      <c r="B4" s="94" t="inlineStr">
        <is>
          <t>Cell two: setup, first-off, turning, boring, in-process verification, tool management, handover</t>
        </is>
      </c>
      <c r="C4" s="95" t="n"/>
      <c r="D4" s="95" t="n"/>
      <c r="E4" s="96" t="n"/>
    </row>
    <row r="5" ht="43.5" customHeight="1" s="38">
      <c r="A5" s="83" t="inlineStr">
        <is>
          <t>Why now</t>
        </is>
      </c>
      <c r="B5" s="94" t="inlineStr">
        <is>
          <t>Two nonconformances in six months, a tooling change in April, and the highest residual risk score in the register</t>
        </is>
      </c>
      <c r="C5" s="95" t="n"/>
      <c r="D5" s="95" t="n"/>
      <c r="E5" s="96" t="n"/>
    </row>
    <row r="6" ht="43.5" customHeight="1" s="38">
      <c r="A6" s="83" t="inlineStr">
        <is>
          <t>Sample design</t>
        </is>
      </c>
      <c r="B6" s="94" t="inlineStr">
        <is>
          <t>12 setups, the first after each of twelve chosen dates spread across six months and deliberately including two days of unusually high output</t>
        </is>
      </c>
      <c r="C6" s="95" t="n"/>
      <c r="D6" s="95" t="n"/>
      <c r="E6" s="96" t="n"/>
    </row>
    <row r="7"/>
    <row r="8" ht="25.5" customHeight="1" s="38">
      <c r="A8" s="74" t="inlineStr">
        <is>
          <t>Ref</t>
        </is>
      </c>
      <c r="B8" s="74" t="inlineStr">
        <is>
          <t>Class</t>
        </is>
      </c>
      <c r="C8" s="74" t="inlineStr">
        <is>
          <t>Requirement</t>
        </is>
      </c>
      <c r="D8" s="74" t="inlineStr">
        <is>
          <t>Evidence</t>
        </is>
      </c>
      <c r="E8" s="74" t="inlineStr">
        <is>
          <t>Gap</t>
        </is>
      </c>
    </row>
    <row r="9" ht="78" customHeight="1" s="38">
      <c r="A9" s="97" t="inlineStr">
        <is>
          <t>F-04</t>
        </is>
      </c>
      <c r="B9" s="98" t="inlineStr">
        <is>
          <t>nonconformity</t>
        </is>
      </c>
      <c r="C9" s="94" t="inlineStr">
        <is>
          <t>The setup instruction for cell two specifies an insert change interval of 400 pieces.</t>
        </is>
      </c>
      <c r="D9" s="94" t="inlineStr">
        <is>
          <t>The regular setter changes at 300 and has done so for years because the carded interval does not reflect actual tool life. Observed on two setups. Supporting data exists in the bore drift corrective action record.</t>
        </is>
      </c>
      <c r="E9" s="94" t="inlineStr">
        <is>
          <t>The documented interval does not reflect the interval in use, and the interval in use is the correct one.</t>
        </is>
      </c>
    </row>
    <row r="10" ht="78" customHeight="1" s="38">
      <c r="A10" s="99" t="inlineStr">
        <is>
          <t>F-05</t>
        </is>
      </c>
      <c r="B10" s="100" t="inlineStr">
        <is>
          <t>nonconformity</t>
        </is>
      </c>
      <c r="C10" s="101" t="inlineStr">
        <is>
          <t>The setup instruction requires a first-off to fall within the middle half of the tolerance band.</t>
        </is>
      </c>
      <c r="D10" s="101" t="inlineStr">
        <is>
          <t>The regular setter applied this correctly. The cover setter, asked the same question in the same words, stated a first-off in tolerance would be run. Cover setter performed 9 setups in six months.</t>
        </is>
      </c>
      <c r="E10" s="101" t="inlineStr">
        <is>
          <t>Application of a defined control depends on which individual is present.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4:E4"/>
    <mergeCell ref="A2:E2"/>
    <mergeCell ref="B6:E6"/>
    <mergeCell ref="A1:E1"/>
    <mergeCell ref="B5:E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C9CCD2"/>
    <outlinePr summaryBelow="1" summaryRight="1"/>
    <pageSetUpPr fitToPage="0"/>
  </sheetPr>
  <dimension ref="A1:E10"/>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8" min="1" max="1"/>
    <col width="14" customWidth="1" style="68" min="2" max="2"/>
    <col width="34" customWidth="1" style="68" min="3" max="3"/>
    <col width="38" customWidth="1" style="68" min="4" max="4"/>
    <col width="32" customWidth="1" style="68" min="5" max="5"/>
  </cols>
  <sheetData>
    <row r="1" ht="25.5" customHeight="1" s="38">
      <c r="A1" s="69" t="inlineStr">
        <is>
          <t>EXAMPLE C MANAGEMENT REVIEW</t>
        </is>
      </c>
    </row>
    <row r="2" ht="15.75" customHeight="1" s="38">
      <c r="A2" s="70" t="inlineStr">
        <is>
          <t>Worked audit from Part 2 of the book. Read, do not edit.</t>
        </is>
      </c>
    </row>
    <row r="3"/>
    <row r="4" ht="43.5" customHeight="1" s="38">
      <c r="A4" s="83" t="inlineStr">
        <is>
          <t>Scope</t>
        </is>
      </c>
      <c r="B4" s="94" t="inlineStr">
        <is>
          <t>The management review process and the corrective action process, and the link between them</t>
        </is>
      </c>
      <c r="C4" s="95" t="n"/>
      <c r="D4" s="95" t="n"/>
      <c r="E4" s="96" t="n"/>
    </row>
    <row r="5" ht="43.5" customHeight="1" s="38">
      <c r="A5" s="83" t="inlineStr">
        <is>
          <t>Why now</t>
        </is>
      </c>
      <c r="B5" s="94" t="inlineStr">
        <is>
          <t>Nine risks were accepted on the basis of review at each management review, and no internal audit has ever covered clause 9.3 beyond confirming the meetings took place</t>
        </is>
      </c>
      <c r="C5" s="95" t="n"/>
      <c r="D5" s="95" t="n"/>
      <c r="E5" s="96" t="n"/>
    </row>
    <row r="6" ht="43.5" customHeight="1" s="38">
      <c r="A6" s="83" t="inlineStr">
        <is>
          <t>Sample design</t>
        </is>
      </c>
      <c r="B6" s="94" t="inlineStr">
        <is>
          <t>All eight management reviews. Six corrective actions: the two oldest, the two most recently closed, and two chosen at random from the middle</t>
        </is>
      </c>
      <c r="C6" s="95" t="n"/>
      <c r="D6" s="95" t="n"/>
      <c r="E6" s="96" t="n"/>
    </row>
    <row r="7"/>
    <row r="8" ht="25.5" customHeight="1" s="38">
      <c r="A8" s="74" t="inlineStr">
        <is>
          <t>Ref</t>
        </is>
      </c>
      <c r="B8" s="74" t="inlineStr">
        <is>
          <t>Class</t>
        </is>
      </c>
      <c r="C8" s="74" t="inlineStr">
        <is>
          <t>Requirement</t>
        </is>
      </c>
      <c r="D8" s="74" t="inlineStr">
        <is>
          <t>Evidence</t>
        </is>
      </c>
      <c r="E8" s="74" t="inlineStr">
        <is>
          <t>Gap</t>
        </is>
      </c>
    </row>
    <row r="9" ht="78" customHeight="1" s="38">
      <c r="A9" s="97" t="inlineStr">
        <is>
          <t>F-06</t>
        </is>
      </c>
      <c r="B9" s="98" t="inlineStr">
        <is>
          <t>nonconformity</t>
        </is>
      </c>
      <c r="C9" s="94" t="inlineStr">
        <is>
          <t>Nine risks were accepted on the basis, recorded in the register, of review at each management review.</t>
        </is>
      </c>
      <c r="D9" s="94" t="inlineStr">
        <is>
          <t>Eight management reviews have taken place since acceptance. The record does not demonstrate that any accepted risk was considered. Where review occurred it is recorded outside the management system.</t>
        </is>
      </c>
      <c r="E9" s="94" t="inlineStr">
        <is>
          <t>Decisions taken on a stated review frequency cannot be shown to have been reviewed at that frequency.</t>
        </is>
      </c>
    </row>
    <row r="10" ht="78" customHeight="1" s="38">
      <c r="A10" s="99" t="inlineStr">
        <is>
          <t>F-07</t>
        </is>
      </c>
      <c r="B10" s="100" t="inlineStr">
        <is>
          <t>nonconformity</t>
        </is>
      </c>
      <c r="C10" s="101" t="inlineStr">
        <is>
          <t>The corrective action procedure requires verification of effectiveness by a person other than the originator.</t>
        </is>
      </c>
      <c r="D10" s="101" t="inlineStr">
        <is>
          <t>In a sample of six corrective actions, three were raised, actioned and verified by the same individual.</t>
        </is>
      </c>
      <c r="E10" s="101" t="inlineStr">
        <is>
          <t>Effectiveness verification is performed by the originator and cannot be regarded as independent.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4:E4"/>
    <mergeCell ref="A2:E2"/>
    <mergeCell ref="B6:E6"/>
    <mergeCell ref="A1:E1"/>
    <mergeCell ref="B5:E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NF-CW2 · NBSM v1.0</oddHeader>
    <oddFooter>&amp;L&amp;8 Companion to Book Two&amp;C&amp;8 Page &amp;P of &amp;N&amp;R&amp;8 &amp;D</oddFooter>
    <evenHeader/>
    <evenFooter/>
    <firstHeader/>
    <firstFooter/>
  </headerFooter>
</worksheet>
</file>

<file path=xl/worksheets/sheet15.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68" min="1" max="1"/>
    <col width="100" customWidth="1" style="68" min="2" max="2"/>
  </cols>
  <sheetData>
    <row r="1"/>
    <row r="2"/>
    <row r="3"/>
    <row r="4"/>
    <row r="5"/>
    <row r="6" ht="17.35" customHeight="1" s="38">
      <c r="B6" s="102" t="inlineStr">
        <is>
          <t>THE NORWOOD FILES</t>
        </is>
      </c>
    </row>
    <row r="7" ht="15" customHeight="1" s="38">
      <c r="B7" s="103" t="inlineStr">
        <is>
          <t>Companion to Book Two</t>
        </is>
      </c>
    </row>
    <row r="8"/>
    <row r="9" ht="15" customHeight="1" s="38">
      <c r="B9" s="104" t="inlineStr">
        <is>
          <t>Document code: NF-CW2 · Identity: NBSM v1.0 · Baseline: EBL-3.1 · Issued 22 August 2026</t>
        </is>
      </c>
    </row>
    <row r="10"/>
    <row r="11" ht="23.85" customHeight="1" s="38">
      <c r="B11" s="105" t="inlineStr">
        <is>
          <t>This workbook is part of The Norwood Files ecosystem — business novels and working instruments for the people who run quality in manufacturing, written for ISO 9001 and current to the 2026 edition.</t>
        </is>
      </c>
    </row>
    <row r="12"/>
    <row r="13" ht="23.85" customHeight="1" s="38">
      <c r="B13" s="105" t="inlineStr">
        <is>
          <t>The Register Mark — one line, one red square: the process, and the record found in it. In every Norwood chart and register, red means exactly one thing: the finding.</t>
        </is>
      </c>
    </row>
    <row r="14"/>
    <row r="15" ht="15" customHeight="1" s="38">
      <c r="B15" s="105" t="inlineStr">
        <is>
          <t>Cell conventions: blue text = your inputs · black = calculated · yellow fill = attention · red ■ = fired trigger/finding.</t>
        </is>
      </c>
    </row>
    <row r="16"/>
    <row r="17" ht="15" customHeight="1" s="38">
      <c r="B17" s="106"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■&amp;RNF-CW2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Book Two</dc:title>
  <dc:description xmlns:dc="http://purl.org/dc/elements/1.1/">Companion to Nothing to Report. Current to the 2026 edition of ISO 9001.</dc:description>
  <dc:subject xmlns:dc="http://purl.org/dc/elements/1.1/">Official Companion Workbook · NF-CW2 · v1.0</dc:subject>
  <dc:language xmlns:dc="http://purl.org/dc/elements/1.1/">en-US</dc:language>
  <dcterms:created xmlns:dcterms="http://purl.org/dc/terms/" xmlns:xsi="http://www.w3.org/2001/XMLSchema-instance" xsi:type="dcterms:W3CDTF">2026-08-09T17:05:49Z</dcterms:created>
  <dcterms:modified xmlns:dcterms="http://purl.org/dc/terms/" xmlns:xsi="http://www.w3.org/2001/XMLSchema-instance" xsi:type="dcterms:W3CDTF">2026-08-22T08:27:03Z</dcterms:modified>
  <cp:lastModifiedBy>Dan Bleigh</cp:lastModifiedBy>
  <cp:category>Official Companion Workbook</cp:category>
  <cp:revision>5</cp:revision>
  <cp:keywords>The Norwood Files; Companion Workbook; ISO 9001; quality management</cp:keywords>
</cp:coreProperties>
</file>